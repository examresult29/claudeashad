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" sheetId="1" state="visible" r:id="rId3"/>
    <sheet name="Rules" sheetId="2" state="visible" r:id="rId4"/>
    <sheet name="Calc" sheetId="3" state="visible" r:id="rId5"/>
    <sheet name="P01 Acknowledgement" sheetId="4" state="visible" r:id="rId6"/>
    <sheet name="P02 Return page 1" sheetId="5" state="visible" r:id="rId7"/>
    <sheet name="P03 Return page 2" sheetId="6" state="visible" r:id="rId8"/>
    <sheet name="P04 Return page 3" sheetId="7" state="visible" r:id="rId9"/>
    <sheet name="P05 Schedule 1" sheetId="8" state="visible" r:id="rId10"/>
    <sheet name="P06 Schedule 2-3" sheetId="9" state="visible" r:id="rId11"/>
    <sheet name="P07 Schedule 4-5" sheetId="10" state="visible" r:id="rId12"/>
    <sheet name="P08 IT-10BB" sheetId="11" state="visible" r:id="rId13"/>
    <sheet name="P09 IT-10B page 1" sheetId="12" state="visible" r:id="rId14"/>
    <sheet name="P10 IT-10B page 2" sheetId="13" state="visible" r:id="rId15"/>
    <sheet name="P11 Tax calculation" sheetId="14" state="visible" r:id="rId16"/>
    <sheet name="P12 Tax free income" sheetId="15" state="visible" r:id="rId17"/>
  </sheets>
  <definedNames>
    <definedName function="false" hidden="false" localSheetId="0" name="_xlnm.Print_Area" vbProcedure="false">Input!$A$1:$F$269</definedName>
    <definedName function="false" hidden="false" localSheetId="3" name="_xlnm.Print_Area" vbProcedure="false">'P01 Acknowledgement'!$A$1:$AY$25</definedName>
    <definedName function="false" hidden="false" localSheetId="4" name="_xlnm.Print_Area" vbProcedure="false">'P02 Return page 1'!$A$1:$BZ$47</definedName>
    <definedName function="false" hidden="false" localSheetId="5" name="_xlnm.Print_Area" vbProcedure="false">'P03 Return page 2'!$A$1:$AY$52</definedName>
    <definedName function="false" hidden="false" localSheetId="6" name="_xlnm.Print_Area" vbProcedure="false">'P04 Return page 3'!$A$1:$BH$41</definedName>
    <definedName function="false" hidden="false" localSheetId="7" name="_xlnm.Print_Area" vbProcedure="false">'P05 Schedule 1'!$A$1:$AY$79</definedName>
    <definedName function="false" hidden="false" localSheetId="8" name="_xlnm.Print_Area" vbProcedure="false">'P06 Schedule 2-3'!$A$1:$BK$41</definedName>
    <definedName function="false" hidden="false" localSheetId="9" name="_xlnm.Print_Area" vbProcedure="false">'P07 Schedule 4-5'!$A$1:$BE$47</definedName>
    <definedName function="false" hidden="false" localSheetId="10" name="_xlnm.Print_Area" vbProcedure="false">'P08 IT-10BB'!$A$1:$BC$38</definedName>
    <definedName function="false" hidden="false" localSheetId="11" name="_xlnm.Print_Area" vbProcedure="false">'P09 IT-10B page 1'!$A$1:$BL$42</definedName>
    <definedName function="false" hidden="false" localSheetId="12" name="_xlnm.Print_Area" vbProcedure="false">'P10 IT-10B page 2'!$A$1:$AE$56</definedName>
    <definedName function="false" hidden="false" localSheetId="13" name="_xlnm.Print_Area" vbProcedure="false">'P11 Tax calculation'!$A$1:$AF$48</definedName>
    <definedName function="false" hidden="false" localSheetId="14" name="_xlnm.Print_Area" vbProcedure="false">'P12 Tax free income'!$A$1:$R$30</definedName>
    <definedName function="false" hidden="false" name="in_address" vbProcedure="false">Input!$C$57</definedName>
    <definedName function="false" hidden="false" name="in_agp1_desc" vbProcedure="false">Input!$C$234</definedName>
    <definedName function="false" hidden="false" name="in_agp1_val" vbProcedure="false">Input!$E$234</definedName>
    <definedName function="false" hidden="false" name="in_agp2_desc" vbProcedure="false">Input!$C$235</definedName>
    <definedName function="false" hidden="false" name="in_agp2_val" vbProcedure="false">Input!$E$235</definedName>
    <definedName function="false" hidden="false" name="in_ag_exp" vbProcedure="false">Input!$C$118</definedName>
    <definedName function="false" hidden="false" name="in_ag_gp" vbProcedure="false">Input!$C$117</definedName>
    <definedName function="false" hidden="false" name="in_ag_nature" vbProcedure="false">Input!$C$115</definedName>
    <definedName function="false" hidden="false" name="in_ag_turnover" vbProcedure="false">Input!$C$116</definedName>
    <definedName function="false" hidden="false" name="in_ay" vbProcedure="false">Input!$C$35</definedName>
    <definedName function="false" hidden="false" name="in_bin" vbProcedure="false">Input!$C$63</definedName>
    <definedName function="false" hidden="false" name="in_boxes" vbProcedure="false">Input!$C$51</definedName>
    <definedName function="false" hidden="false" name="in_bs_all" vbProcedure="false">Input!$C$129:$C$135</definedName>
    <definedName function="false" hidden="false" name="in_bs_cash_bank" vbProcedure="false">Input!$C$129</definedName>
    <definedName function="false" hidden="false" name="in_bs_drawings" vbProcedure="false">Input!$C$134</definedName>
    <definedName function="false" hidden="false" name="in_bs_fixed_assets" vbProcedure="false">Input!$C$131</definedName>
    <definedName function="false" hidden="false" name="in_bs_inventory" vbProcedure="false">Input!$C$130</definedName>
    <definedName function="false" hidden="false" name="in_bs_liabilities" vbProcedure="false">Input!$C$135</definedName>
    <definedName function="false" hidden="false" name="in_bs_opening_capital" vbProcedure="false">Input!$C$133</definedName>
    <definedName function="false" hidden="false" name="in_bs_other_assets" vbProcedure="false">Input!$C$132</definedName>
    <definedName function="false" hidden="false" name="in_bz_address" vbProcedure="false">Input!$C$123</definedName>
    <definedName function="false" hidden="false" name="in_bz_bad" vbProcedure="false">Input!$C$127</definedName>
    <definedName function="false" hidden="false" name="in_bz_exp" vbProcedure="false">Input!$C$126</definedName>
    <definedName function="false" hidden="false" name="in_bz_gp" vbProcedure="false">Input!$C$125</definedName>
    <definedName function="false" hidden="false" name="in_bz_name" vbProcedure="false">Input!$C$121</definedName>
    <definedName function="false" hidden="false" name="in_bz_nature" vbProcedure="false">Input!$C$122</definedName>
    <definedName function="false" hidden="false" name="in_bz_turnover" vbProcedure="false">Input!$C$124</definedName>
    <definedName function="false" hidden="false" name="in_circle" vbProcedure="false">Input!$C$42</definedName>
    <definedName function="false" hidden="false" name="in_date" vbProcedure="false">Input!$C$261</definedName>
    <definedName function="false" hidden="false" name="in_disabled" vbProcedure="false">Input!$C$47</definedName>
    <definedName function="false" hidden="false" name="in_dob" vbProcedure="false">Input!$C$46</definedName>
    <definedName function="false" hidden="false" name="in_doc1" vbProcedure="false">Input!$C$262</definedName>
    <definedName function="false" hidden="false" name="in_doc2" vbProcedure="false">Input!$C$263</definedName>
    <definedName function="false" hidden="false" name="in_doc3" vbProcedure="false">Input!$C$264</definedName>
    <definedName function="false" hidden="false" name="in_doc4" vbProcedure="false">Input!$C$265</definedName>
    <definedName function="false" hidden="false" name="in_doc5" vbProcedure="false">Input!$C$266</definedName>
    <definedName function="false" hidden="false" name="in_doc6" vbProcedure="false">Input!$C$267</definedName>
    <definedName function="false" hidden="false" name="in_doc7" vbProcedure="false">Input!$C$268</definedName>
    <definedName function="false" hidden="false" name="in_email" vbProcedure="false">Input!$C$60</definedName>
    <definedName function="false" hidden="false" name="in_employer" vbProcedure="false">Input!$C$61</definedName>
    <definedName function="false" hidden="false" name="in_father" vbProcedure="false">Input!$C$53</definedName>
    <definedName function="false" hidden="false" name="in_ff" vbProcedure="false">Input!$C$48</definedName>
    <definedName function="false" hidden="false" name="in_first" vbProcedure="false">Input!$C$52</definedName>
    <definedName function="false" hidden="false" name="in_gender" vbProcedure="false">Input!$C$45</definedName>
    <definedName function="false" hidden="false" name="in_g_arrear_pay" vbProcedure="false">Input!$C$69</definedName>
    <definedName function="false" hidden="false" name="in_g_baishakhi_allowance" vbProcedure="false">Input!$C$79</definedName>
    <definedName function="false" hidden="false" name="in_g_basic_pay" vbProcedure="false">Input!$C$68</definedName>
    <definedName function="false" hidden="false" name="in_g_conveyance_allowance" vbProcedure="false">Input!$C$73</definedName>
    <definedName function="false" hidden="false" name="in_g_festival_allowance" vbProcedure="false">Input!$C$74</definedName>
    <definedName function="false" hidden="false" name="in_g_gratuity" vbProcedure="false">Input!$C$82</definedName>
    <definedName function="false" hidden="false" name="in_g_honorarium" vbProcedure="false">Input!$C$77</definedName>
    <definedName function="false" hidden="false" name="in_g_house_rent_allowance" vbProcedure="false">Input!$C$71</definedName>
    <definedName function="false" hidden="false" name="in_g_lamp_grant" vbProcedure="false">Input!$C$81</definedName>
    <definedName function="false" hidden="false" name="in_g_leave_allowance" vbProcedure="false">Input!$C$76</definedName>
    <definedName function="false" hidden="false" name="in_g_medical_allowance" vbProcedure="false">Input!$C$72</definedName>
    <definedName function="false" hidden="false" name="in_g_others" vbProcedure="false">Input!$C$83</definedName>
    <definedName function="false" hidden="false" name="in_g_overtime_allowance" vbProcedure="false">Input!$C$78</definedName>
    <definedName function="false" hidden="false" name="in_g_pf_interest" vbProcedure="false">Input!$C$80</definedName>
    <definedName function="false" hidden="false" name="in_g_special_allowance" vbProcedure="false">Input!$C$70</definedName>
    <definedName function="false" hidden="false" name="in_g_support_staff_allowance" vbProcedure="false">Input!$C$75</definedName>
    <definedName function="false" hidden="false" name="in_hp1_adj" vbProcedure="false">Input!$C$105</definedName>
    <definedName function="false" hidden="false" name="in_hp1_adv" vbProcedure="false">Input!$C$103</definedName>
    <definedName function="false" hidden="false" name="in_hp1_av" vbProcedure="false">Input!$C$102</definedName>
    <definedName function="false" hidden="false" name="in_hp1_ben" vbProcedure="false">Input!$C$104</definedName>
    <definedName function="false" hidden="false" name="in_hp1_desc" vbProcedure="false">Input!$C$100</definedName>
    <definedName function="false" hidden="false" name="in_hp1_ins" vbProcedure="false">Input!$C$110</definedName>
    <definedName function="false" hidden="false" name="in_hp1_land" vbProcedure="false">Input!$C$108</definedName>
    <definedName function="false" hidden="false" name="in_hp1_loan" vbProcedure="false">Input!$C$109</definedName>
    <definedName function="false" hidden="false" name="in_hp1_mun" vbProcedure="false">Input!$C$107</definedName>
    <definedName function="false" hidden="false" name="in_hp1_oth" vbProcedure="false">Input!$C$111</definedName>
    <definedName function="false" hidden="false" name="in_hp1_share" vbProcedure="false">Input!$C$112</definedName>
    <definedName function="false" hidden="false" name="in_hp1_use" vbProcedure="false">Input!$C$101</definedName>
    <definedName function="false" hidden="false" name="in_hp1_vac" vbProcedure="false">Input!$C$106</definedName>
    <definedName function="false" hidden="false" name="in_hp2_adj" vbProcedure="false">Input!$D$105</definedName>
    <definedName function="false" hidden="false" name="in_hp2_adv" vbProcedure="false">Input!$D$103</definedName>
    <definedName function="false" hidden="false" name="in_hp2_av" vbProcedure="false">Input!$D$102</definedName>
    <definedName function="false" hidden="false" name="in_hp2_ben" vbProcedure="false">Input!$D$104</definedName>
    <definedName function="false" hidden="false" name="in_hp2_desc" vbProcedure="false">Input!$D$100</definedName>
    <definedName function="false" hidden="false" name="in_hp2_ins" vbProcedure="false">Input!$D$110</definedName>
    <definedName function="false" hidden="false" name="in_hp2_land" vbProcedure="false">Input!$D$108</definedName>
    <definedName function="false" hidden="false" name="in_hp2_loan" vbProcedure="false">Input!$D$109</definedName>
    <definedName function="false" hidden="false" name="in_hp2_mun" vbProcedure="false">Input!$D$107</definedName>
    <definedName function="false" hidden="false" name="in_hp2_oth" vbProcedure="false">Input!$D$111</definedName>
    <definedName function="false" hidden="false" name="in_hp2_share" vbProcedure="false">Input!$D$112</definedName>
    <definedName function="false" hidden="false" name="in_hp2_use" vbProcedure="false">Input!$D$101</definedName>
    <definedName function="false" hidden="false" name="in_hp2_vac" vbProcedure="false">Input!$D$106</definedName>
    <definedName function="false" hidden="false" name="in_hp3_adj" vbProcedure="false">Input!$E$105</definedName>
    <definedName function="false" hidden="false" name="in_hp3_adv" vbProcedure="false">Input!$E$103</definedName>
    <definedName function="false" hidden="false" name="in_hp3_av" vbProcedure="false">Input!$E$102</definedName>
    <definedName function="false" hidden="false" name="in_hp3_ben" vbProcedure="false">Input!$E$104</definedName>
    <definedName function="false" hidden="false" name="in_hp3_desc" vbProcedure="false">Input!$E$100</definedName>
    <definedName function="false" hidden="false" name="in_hp3_ins" vbProcedure="false">Input!$E$110</definedName>
    <definedName function="false" hidden="false" name="in_hp3_land" vbProcedure="false">Input!$E$108</definedName>
    <definedName function="false" hidden="false" name="in_hp3_loan" vbProcedure="false">Input!$E$109</definedName>
    <definedName function="false" hidden="false" name="in_hp3_mun" vbProcedure="false">Input!$E$107</definedName>
    <definedName function="false" hidden="false" name="in_hp3_oth" vbProcedure="false">Input!$E$111</definedName>
    <definedName function="false" hidden="false" name="in_hp3_share" vbProcedure="false">Input!$E$112</definedName>
    <definedName function="false" hidden="false" name="in_hp3_use" vbProcedure="false">Input!$E$101</definedName>
    <definedName function="false" hidden="false" name="in_hp3_vac" vbProcedure="false">Input!$E$106</definedName>
    <definedName function="false" hidden="false" name="in_inv_benevolent_group_insurance" vbProcedure="false">Input!$C$178</definedName>
    <definedName function="false" hidden="false" name="in_inv_dps" vbProcedure="false">Input!$C$172</definedName>
    <definedName function="false" hidden="false" name="in_inv_govt_securities" vbProcedure="false">Input!$C$173</definedName>
    <definedName function="false" hidden="false" name="in_inv_life_insurance" vbProcedure="false">Input!$C$171</definedName>
    <definedName function="false" hidden="false" name="in_inv_listed_securities" vbProcedure="false">Input!$C$174</definedName>
    <definedName function="false" hidden="false" name="in_inv_others" vbProcedure="false">Input!$C$180</definedName>
    <definedName function="false" hidden="false" name="in_inv_pension_fund" vbProcedure="false">Input!$C$177</definedName>
    <definedName function="false" hidden="false" name="in_inv_pf_1925" vbProcedure="false">Input!$C$175</definedName>
    <definedName function="false" hidden="false" name="in_inv_rpf" vbProcedure="false">Input!$C$176</definedName>
    <definedName function="false" hidden="false" name="in_inv_zakat" vbProcedure="false">Input!$C$179</definedName>
    <definedName function="false" hidden="false" name="in_july" vbProcedure="false">Input!$C$49</definedName>
    <definedName function="false" hidden="false" name="in_lf_education" vbProcedure="false">Input!$C$211</definedName>
    <definedName function="false" hidden="false" name="in_lf_education_note" vbProcedure="false">Input!$D$211</definedName>
    <definedName function="false" hidden="false" name="in_lf_festival" vbProcedure="false">Input!$C$213</definedName>
    <definedName function="false" hidden="false" name="in_lf_festival_note" vbProcedure="false">Input!$D$213</definedName>
    <definedName function="false" hidden="false" name="in_lf_food_clothing" vbProcedure="false">Input!$C$207</definedName>
    <definedName function="false" hidden="false" name="in_lf_food_clothing_note" vbProcedure="false">Input!$D$207</definedName>
    <definedName function="false" hidden="false" name="in_lf_housing" vbProcedure="false">Input!$C$208</definedName>
    <definedName function="false" hidden="false" name="in_lf_housing_note" vbProcedure="false">Input!$D$208</definedName>
    <definedName function="false" hidden="false" name="in_lf_loan_interest" vbProcedure="false">Input!$C$215</definedName>
    <definedName function="false" hidden="false" name="in_lf_loan_interest_note" vbProcedure="false">Input!$D$215</definedName>
    <definedName function="false" hidden="false" name="in_lf_tax_paid" vbProcedure="false">Input!$C$214</definedName>
    <definedName function="false" hidden="false" name="in_lf_tax_paid_note" vbProcedure="false">Input!$D$214</definedName>
    <definedName function="false" hidden="false" name="in_lf_transport" vbProcedure="false">Input!$C$209</definedName>
    <definedName function="false" hidden="false" name="in_lf_transport_note" vbProcedure="false">Input!$D$209</definedName>
    <definedName function="false" hidden="false" name="in_lf_travel" vbProcedure="false">Input!$C$212</definedName>
    <definedName function="false" hidden="false" name="in_lf_travel_note" vbProcedure="false">Input!$D$212</definedName>
    <definedName function="false" hidden="false" name="in_lf_utility" vbProcedure="false">Input!$C$210</definedName>
    <definedName function="false" hidden="false" name="in_lf_utility_note" vbProcedure="false">Input!$D$210</definedName>
    <definedName function="false" hidden="false" name="in_mobile" vbProcedure="false">Input!$C$59</definedName>
    <definedName function="false" hidden="false" name="in_na1_desc" vbProcedure="false">Input!$C$229</definedName>
    <definedName function="false" hidden="false" name="in_na1_val" vbProcedure="false">Input!$E$229</definedName>
    <definedName function="false" hidden="false" name="in_na2_desc" vbProcedure="false">Input!$C$230</definedName>
    <definedName function="false" hidden="false" name="in_na2_val" vbProcedure="false">Input!$E$230</definedName>
    <definedName function="false" hidden="false" name="in_na3_desc" vbProcedure="false">Input!$C$231</definedName>
    <definedName function="false" hidden="false" name="in_na3_val" vbProcedure="false">Input!$E$231</definedName>
    <definedName function="false" hidden="false" name="in_na4_desc" vbProcedure="false">Input!$C$232</definedName>
    <definedName function="false" hidden="false" name="in_na4_val" vbProcedure="false">Input!$E$232</definedName>
    <definedName function="false" hidden="false" name="in_name" vbProcedure="false">Input!$C$39</definedName>
    <definedName function="false" hidden="false" name="in_nid" vbProcedure="false">Input!$C$41</definedName>
    <definedName function="false" hidden="false" name="in_oi_cg" vbProcedure="false">Input!$C$138</definedName>
    <definedName function="false" hidden="false" name="in_oi_fin" vbProcedure="false">Input!$C$139</definedName>
    <definedName function="false" hidden="false" name="in_oi_firm" vbProcedure="false">Input!$C$142</definedName>
    <definedName function="false" hidden="false" name="in_oi_foreign" vbProcedure="false">Input!$C$144</definedName>
    <definedName function="false" hidden="false" name="in_oi_minor" vbProcedure="false">Input!$C$143</definedName>
    <definedName function="false" hidden="false" name="in_oi_other" vbProcedure="false">Input!$C$141</definedName>
    <definedName function="false" hidden="false" name="in_oi_sp" vbProcedure="false">Input!$C$140</definedName>
    <definedName function="false" hidden="false" name="in_org" vbProcedure="false">Input!$C$62</definedName>
    <definedName function="false" hidden="false" name="in_parent" vbProcedure="false">Input!$C$50</definedName>
    <definedName function="false" hidden="false" name="in_partners" vbProcedure="false">Input!$C$64</definedName>
    <definedName function="false" hidden="false" name="in_pay_adv" vbProcedure="false">Input!$C$188</definedName>
    <definedName function="false" hidden="false" name="in_pay_bank" vbProcedure="false">Input!$C$185</definedName>
    <definedName function="false" hidden="false" name="in_pay_car" vbProcedure="false">Input!$C$187</definedName>
    <definedName function="false" hidden="false" name="in_pay_challan" vbProcedure="false">Input!$C$192</definedName>
    <definedName function="false" hidden="false" name="in_pay_refund" vbProcedure="false">Input!$C$189</definedName>
    <definedName function="false" hidden="false" name="in_pay_refund_years" vbProcedure="false">Input!$C$190</definedName>
    <definedName function="false" hidden="false" name="in_pay_sp" vbProcedure="false">Input!$C$184</definedName>
    <definedName function="false" hidden="false" name="in_pay_tds" vbProcedure="false">Input!$C$183</definedName>
    <definedName function="false" hidden="false" name="in_pay_with_return" vbProcedure="false">Input!$C$191</definedName>
    <definedName function="false" hidden="false" name="in_pay_wppf" vbProcedure="false">Input!$C$186</definedName>
    <definedName function="false" hidden="false" name="in_place" vbProcedure="false">Input!$C$260</definedName>
    <definedName function="false" hidden="false" name="in_profile" vbProcedure="false">Input!$C$36</definedName>
    <definedName function="false" hidden="false" name="in_p_accommodation" vbProcedure="false">Input!$C$92</definedName>
    <definedName function="false" hidden="false" name="in_p_advance_salary" vbProcedure="false">Input!$C$87</definedName>
    <definedName function="false" hidden="false" name="in_p_allowances" vbProcedure="false">Input!$C$86</definedName>
    <definedName function="false" hidden="false" name="in_p_basic_pay" vbProcedure="false">Input!$C$85</definedName>
    <definedName function="false" hidden="false" name="in_p_car_benefit" vbProcedure="false">Input!$C$93</definedName>
    <definedName function="false" hidden="false" name="in_p_employee_share_scheme" vbProcedure="false">Input!$C$91</definedName>
    <definedName function="false" hidden="false" name="in_p_employer_pf_contribution" vbProcedure="false">Input!$C$95</definedName>
    <definedName function="false" hidden="false" name="in_p_gratuity_pension" vbProcedure="false">Input!$C$88</definedName>
    <definedName function="false" hidden="false" name="in_p_in_lieu_of_salary" vbProcedure="false">Input!$C$90</definedName>
    <definedName function="false" hidden="false" name="in_p_others" vbProcedure="false">Input!$C$96</definedName>
    <definedName function="false" hidden="false" name="in_p_other_benefits" vbProcedure="false">Input!$C$94</definedName>
    <definedName function="false" hidden="false" name="in_p_perquisites" vbProcedure="false">Input!$C$89</definedName>
    <definedName function="false" hidden="false" name="in_relation" vbProcedure="false">Input!$C$54</definedName>
    <definedName function="false" hidden="false" name="in_resident" vbProcedure="false">Input!$C$44</definedName>
    <definedName function="false" hidden="false" name="in_spouse" vbProcedure="false">Input!$C$55</definedName>
    <definedName function="false" hidden="false" name="in_spouse_tin" vbProcedure="false">Input!$C$56</definedName>
    <definedName function="false" hidden="false" name="in_tel" vbProcedure="false">Input!$C$58</definedName>
    <definedName function="false" hidden="false" name="in_tf_agricultural" vbProcedure="false">Input!$C$158</definedName>
    <definedName function="false" hidden="false" name="in_tf_briddhashram" vbProcedure="false">Input!$C$166</definedName>
    <definedName function="false" hidden="false" name="in_tf_firm_capital_share" vbProcedure="false">Input!$C$153</definedName>
    <definedName function="false" hidden="false" name="in_tf_foreign_remittance" vbProcedure="false">Input!$C$155</definedName>
    <definedName function="false" hidden="false" name="in_tf_govt_award" vbProcedure="false">Input!$C$165</definedName>
    <definedName function="false" hidden="false" name="in_tf_govt_pension" vbProcedure="false">Input!$C$163</definedName>
    <definedName function="false" hidden="false" name="in_tf_govt_pf" vbProcedure="false">Input!$C$148</definedName>
    <definedName function="false" hidden="false" name="in_tf_handicrafts_export" vbProcedure="false">Input!$C$160</definedName>
    <definedName function="false" hidden="false" name="in_tf_hill_tracts" vbProcedure="false">Input!$C$157</definedName>
    <definedName function="false" hidden="false" name="in_tf_huf_share" vbProcedure="false">Input!$C$154</definedName>
    <definedName function="false" hidden="false" name="in_tf_other" vbProcedure="false">Input!$C$168</definedName>
    <definedName function="false" hidden="false" name="in_tf_pensioners_savings_certificate" vbProcedure="false">Input!$C$152</definedName>
    <definedName function="false" hidden="false" name="in_tf_pf_1925_income" vbProcedure="false">Input!$C$150</definedName>
    <definedName function="false" hidden="false" name="in_tf_salary_other" vbProcedure="false">Input!$C$147</definedName>
    <definedName function="false" hidden="false" name="in_tf_seagoing_ship" vbProcedure="false">Input!$C$167</definedName>
    <definedName function="false" hidden="false" name="in_tf_sme" vbProcedure="false">Input!$C$161</definedName>
    <definedName function="false" hidden="false" name="in_tf_software_it" vbProcedure="false">Input!$C$159</definedName>
    <definedName function="false" hidden="false" name="in_tf_taxed_distribution" vbProcedure="false">Input!$C$149</definedName>
    <definedName function="false" hidden="false" name="in_tf_voluntary_retirement" vbProcedure="false">Input!$C$151</definedName>
    <definedName function="false" hidden="false" name="in_tf_wage_earners_fund" vbProcedure="false">Input!$C$156</definedName>
    <definedName function="false" hidden="false" name="in_tf_welfare_allowance" vbProcedure="false">Input!$C$164</definedName>
    <definedName function="false" hidden="false" name="in_tf_zero_coupon" vbProcedure="false">Input!$C$162</definedName>
    <definedName function="false" hidden="false" name="in_tin" vbProcedure="false">Input!$C$40</definedName>
    <definedName function="false" hidden="false" name="in_tx_2kha" vbProcedure="false">Input!$C$198</definedName>
    <definedName function="false" hidden="false" name="in_tx_5ka" vbProcedure="false">Input!$C$199</definedName>
    <definedName function="false" hidden="false" name="in_tx_delay" vbProcedure="false">Input!$C$197</definedName>
    <definedName function="false" hidden="false" name="in_tx_env" vbProcedure="false">Input!$C$196</definedName>
    <definedName function="false" hidden="false" name="in_tx_final_tax" vbProcedure="false">Input!$C$203</definedName>
    <definedName function="false" hidden="false" name="in_tx_min_override" vbProcedure="false">Input!$C$201</definedName>
    <definedName function="false" hidden="false" name="in_tx_rebate" vbProcedure="false">Input!$C$200</definedName>
    <definedName function="false" hidden="false" name="in_tx_sur_override" vbProcedure="false">Input!$C$202</definedName>
    <definedName function="false" hidden="false" name="in_tx_trigger" vbProcedure="false">Input!$C$195</definedName>
    <definedName function="false" hidden="false" name="in_w_balance" vbProcedure="false">Input!$C$219</definedName>
    <definedName function="false" hidden="false" name="in_w_bcap_agg" vbProcedure="false">Input!$C$245</definedName>
    <definedName function="false" hidden="false" name="in_w_bcap_liab" vbProcedure="false">Input!$C$246</definedName>
    <definedName function="false" hidden="false" name="in_w_car" vbProcedure="false">Input!$C$248</definedName>
    <definedName function="false" hidden="false" name="in_w_car_det" vbProcedure="false">Input!$C$249</definedName>
    <definedName function="false" hidden="false" name="in_w_cash" vbProcedure="false">Input!$C$257</definedName>
    <definedName function="false" hidden="false" name="in_w_deb" vbProcedure="false">Input!$C$237</definedName>
    <definedName function="false" hidden="false" name="in_w_dir" vbProcedure="false">Input!$C$247</definedName>
    <definedName function="false" hidden="false" name="in_w_fdr" vbProcedure="false">Input!$C$241</definedName>
    <definedName function="false" hidden="false" name="in_w_furn" vbProcedure="false">Input!$C$254</definedName>
    <definedName function="false" hidden="false" name="in_w_furn_note" vbProcedure="false">Input!$C$255</definedName>
    <definedName function="false" hidden="false" name="in_w_gift" vbProcedure="false">Input!$C$220</definedName>
    <definedName function="false" hidden="false" name="in_w_gift_label" vbProcedure="false">Input!$C$221</definedName>
    <definedName function="false" hidden="false" name="in_w_li" vbProcedure="false">Input!$C$239</definedName>
    <definedName function="false" hidden="false" name="in_w_liab_inst" vbProcedure="false">Input!$C$224</definedName>
    <definedName function="false" hidden="false" name="in_w_liab_non" vbProcedure="false">Input!$C$225</definedName>
    <definedName function="false" hidden="false" name="in_w_liab_other" vbProcedure="false">Input!$C$226</definedName>
    <definedName function="false" hidden="false" name="in_w_loan" vbProcedure="false">Input!$C$240</definedName>
    <definedName function="false" hidden="false" name="in_w_oinv" vbProcedure="false">Input!$C$243</definedName>
    <definedName function="false" hidden="false" name="in_w_orn" vbProcedure="false">Input!$C$250</definedName>
    <definedName function="false" hidden="false" name="in_w_orn_note" vbProcedure="false">Input!$C$253</definedName>
    <definedName function="false" hidden="false" name="in_w_orn_qty" vbProcedure="false">Input!$C$251</definedName>
    <definedName function="false" hidden="false" name="in_w_orn_type" vbProcedure="false">Input!$C$252</definedName>
    <definedName function="false" hidden="false" name="in_w_oth" vbProcedure="false">Input!$C$256</definedName>
    <definedName function="false" hidden="false" name="in_w_other_out" vbProcedure="false">Input!$C$222</definedName>
    <definedName function="false" hidden="false" name="in_w_pf" vbProcedure="false">Input!$C$242</definedName>
    <definedName function="false" hidden="false" name="in_w_prev" vbProcedure="false">Input!$C$218</definedName>
    <definedName function="false" hidden="false" name="in_w_sp" vbProcedure="false">Input!$C$238</definedName>
    <definedName function="false" hidden="false" name="in_zone" vbProcedure="false">Input!$C$43</definedName>
    <definedName function="false" hidden="false" name="p_gt_arrear_pay" vbProcedure="false">Rules!$G$43</definedName>
    <definedName function="false" hidden="false" name="p_gt_baishakhi_allowance" vbProcedure="false">Rules!$G$53</definedName>
    <definedName function="false" hidden="false" name="p_gt_basic_pay" vbProcedure="false">Rules!$G$42</definedName>
    <definedName function="false" hidden="false" name="p_gt_conveyance_allowance" vbProcedure="false">Rules!$G$47</definedName>
    <definedName function="false" hidden="false" name="p_gt_festival_allowance" vbProcedure="false">Rules!$G$48</definedName>
    <definedName function="false" hidden="false" name="p_gt_gratuity" vbProcedure="false">Rules!$G$56</definedName>
    <definedName function="false" hidden="false" name="p_gt_honorarium" vbProcedure="false">Rules!$G$51</definedName>
    <definedName function="false" hidden="false" name="p_gt_house_rent_allowance" vbProcedure="false">Rules!$G$45</definedName>
    <definedName function="false" hidden="false" name="p_gt_lamp_grant" vbProcedure="false">Rules!$G$55</definedName>
    <definedName function="false" hidden="false" name="p_gt_leave_allowance" vbProcedure="false">Rules!$G$50</definedName>
    <definedName function="false" hidden="false" name="p_gt_medical_allowance" vbProcedure="false">Rules!$G$46</definedName>
    <definedName function="false" hidden="false" name="p_gt_others" vbProcedure="false">Rules!$G$57</definedName>
    <definedName function="false" hidden="false" name="p_gt_overtime_allowance" vbProcedure="false">Rules!$G$52</definedName>
    <definedName function="false" hidden="false" name="p_gt_pf_interest" vbProcedure="false">Rules!$G$54</definedName>
    <definedName function="false" hidden="false" name="p_gt_special_allowance" vbProcedure="false">Rules!$G$44</definedName>
    <definedName function="false" hidden="false" name="p_gt_support_staff_allowance" vbProcedure="false">Rules!$G$49</definedName>
    <definedName function="false" hidden="false" name="p_min_tax" vbProcedure="false">Rules!$G$22</definedName>
    <definedName function="false" hidden="false" name="p_min_tax_first" vbProcedure="false">Rules!$G$23</definedName>
    <definedName function="false" hidden="false" name="p_priv_cap" vbProcedure="false">Rules!$G$28</definedName>
    <definedName function="false" hidden="false" name="p_priv_fraction" vbProcedure="false">Rules!$G$27</definedName>
    <definedName function="false" hidden="false" name="p_r1" vbProcedure="false">Rules!$G$14</definedName>
    <definedName function="false" hidden="false" name="p_r2" vbProcedure="false">Rules!$G$16</definedName>
    <definedName function="false" hidden="false" name="p_r3" vbProcedure="false">Rules!$G$18</definedName>
    <definedName function="false" hidden="false" name="p_r4" vbProcedure="false">Rules!$G$20</definedName>
    <definedName function="false" hidden="false" name="p_r5" vbProcedure="false">Rules!$G$21</definedName>
    <definedName function="false" hidden="false" name="p_rebate_cap" vbProcedure="false">Rules!$G$26</definedName>
    <definedName function="false" hidden="false" name="p_rebate_income_rate" vbProcedure="false">Rules!$G$24</definedName>
    <definedName function="false" hidden="false" name="p_rebate_invest_rate" vbProcedure="false">Rules!$G$25</definedName>
    <definedName function="false" hidden="false" name="p_repair_com" vbProcedure="false">Rules!$G$30</definedName>
    <definedName function="false" hidden="false" name="p_repair_res" vbProcedure="false">Rules!$G$29</definedName>
    <definedName function="false" hidden="false" name="p_sur_base" vbProcedure="false">Rules!$G$40</definedName>
    <definedName function="false" hidden="false" name="p_sur_rate1" vbProcedure="false">Rules!$G$35</definedName>
    <definedName function="false" hidden="false" name="p_sur_rate2" vbProcedure="false">Rules!$G$36</definedName>
    <definedName function="false" hidden="false" name="p_sur_rate3" vbProcedure="false">Rules!$G$37</definedName>
    <definedName function="false" hidden="false" name="p_sur_rate4" vbProcedure="false">Rules!$G$38</definedName>
    <definedName function="false" hidden="false" name="p_sur_rate5" vbProcedure="false">Rules!$G$39</definedName>
    <definedName function="false" hidden="false" name="p_sur_trigger" vbProcedure="false">Rules!$G$41</definedName>
    <definedName function="false" hidden="false" name="p_sur_up1" vbProcedure="false">Rules!$G$31</definedName>
    <definedName function="false" hidden="false" name="p_sur_up2" vbProcedure="false">Rules!$G$32</definedName>
    <definedName function="false" hidden="false" name="p_sur_up3" vbProcedure="false">Rules!$G$33</definedName>
    <definedName function="false" hidden="false" name="p_sur_up4" vbProcedure="false">Rules!$G$34</definedName>
    <definedName function="false" hidden="false" name="p_thr_disabled" vbProcedure="false">Rules!$G$8</definedName>
    <definedName function="false" hidden="false" name="p_thr_female" vbProcedure="false">Rules!$G$6</definedName>
    <definedName function="false" hidden="false" name="p_thr_general" vbProcedure="false">Rules!$G$5</definedName>
    <definedName function="false" hidden="false" name="p_thr_july_joddha" vbProcedure="false">Rules!$G$11</definedName>
    <definedName function="false" hidden="false" name="p_thr_parent_of_disabled_addition" vbProcedure="false">Rules!$G$12</definedName>
    <definedName function="false" hidden="false" name="p_thr_senior" vbProcedure="false">Rules!$G$7</definedName>
    <definedName function="false" hidden="false" name="p_thr_third_gender" vbProcedure="false">Rules!$G$9</definedName>
    <definedName function="false" hidden="false" name="p_thr_war_wounded_freedom_fighter" vbProcedure="false">Rules!$G$10</definedName>
    <definedName function="false" hidden="false" name="p_w1" vbProcedure="false">Rules!$G$13</definedName>
    <definedName function="false" hidden="false" name="p_w2" vbProcedure="false">Rules!$G$15</definedName>
    <definedName function="false" hidden="false" name="p_w3" vbProcedure="false">Rules!$G$17</definedName>
    <definedName function="false" hidden="false" name="p_w4" vbProcedure="false">Rules!$G$19</definedName>
    <definedName function="false" hidden="false" name="p_warning" vbProcedure="false">Rules!$G$59</definedName>
    <definedName function="false" hidden="false" name="rules_ids" vbProcedure="false">Rules!$D$4:$F$4</definedName>
    <definedName function="false" hidden="false" name="v_ack_income" vbProcedure="false">Calc!$D$393</definedName>
    <definedName function="false" hidden="false" name="v_ack_paid" vbProcedure="false">Calc!$D$394</definedName>
    <definedName function="false" hidden="false" name="v_address" vbProcedure="false">Calc!$D$16</definedName>
    <definedName function="false" hidden="false" name="v_age" vbProcedure="false">Calc!$D$29</definedName>
    <definedName function="false" hidden="false" name="v_ay" vbProcedure="false">Calc!$D$4</definedName>
    <definedName function="false" hidden="false" name="v_ay_start" vbProcedure="false">Calc!$D$5</definedName>
    <definedName function="false" hidden="false" name="v_a_agg" vbProcedure="false">Calc!$D$316</definedName>
    <definedName function="false" hidden="false" name="v_a_bcap" vbProcedure="false">Calc!$D$318</definedName>
    <definedName function="false" hidden="false" name="v_a_bcap_other" vbProcedure="false">Calc!$D$320</definedName>
    <definedName function="false" hidden="false" name="v_a_bliab" vbProcedure="false">Calc!$D$317</definedName>
    <definedName function="false" hidden="false" name="v_a_d1_desc" vbProcedure="false">Calc!$D$321</definedName>
    <definedName function="false" hidden="false" name="v_a_d1_val" vbProcedure="false">Calc!$D$322</definedName>
    <definedName function="false" hidden="false" name="v_a_d2_desc" vbProcedure="false">Calc!$D$323</definedName>
    <definedName function="false" hidden="false" name="v_a_d2_val" vbProcedure="false">Calc!$D$324</definedName>
    <definedName function="false" hidden="false" name="v_a_d3_desc" vbProcedure="false">Calc!$D$325</definedName>
    <definedName function="false" hidden="false" name="v_a_d3_val" vbProcedure="false">Calc!$D$326</definedName>
    <definedName function="false" hidden="false" name="v_a_d4_desc" vbProcedure="false">Calc!$D$327</definedName>
    <definedName function="false" hidden="false" name="v_a_d4_val" vbProcedure="false">Calc!$D$328</definedName>
    <definedName function="false" hidden="false" name="v_a_dir" vbProcedure="false">Calc!$D$319</definedName>
    <definedName function="false" hidden="false" name="v_a_d_total" vbProcedure="false">Calc!$D$329</definedName>
    <definedName function="false" hidden="false" name="v_a_e_desc" vbProcedure="false">Calc!$D$331</definedName>
    <definedName function="false" hidden="false" name="v_a_e_total" vbProcedure="false">Calc!$D$330</definedName>
    <definedName function="false" hidden="false" name="v_a_f1" vbProcedure="false">Calc!$D$332</definedName>
    <definedName function="false" hidden="false" name="v_a_f2" vbProcedure="false">Calc!$D$333</definedName>
    <definedName function="false" hidden="false" name="v_a_f3" vbProcedure="false">Calc!$D$334</definedName>
    <definedName function="false" hidden="false" name="v_a_f4" vbProcedure="false">Calc!$D$335</definedName>
    <definedName function="false" hidden="false" name="v_a_f5" vbProcedure="false">Calc!$D$336</definedName>
    <definedName function="false" hidden="false" name="v_a_f6" vbProcedure="false">Calc!$D$337</definedName>
    <definedName function="false" hidden="false" name="v_a_f7" vbProcedure="false">Calc!$D$338</definedName>
    <definedName function="false" hidden="false" name="v_a_f_total" vbProcedure="false">Calc!$D$339</definedName>
    <definedName function="false" hidden="false" name="v_a_g" vbProcedure="false">Calc!$D$340</definedName>
    <definedName function="false" hidden="false" name="v_a_g_desc" vbProcedure="false">Calc!$D$341</definedName>
    <definedName function="false" hidden="false" name="v_a_h" vbProcedure="false">Calc!$D$342</definedName>
    <definedName function="false" hidden="false" name="v_a_h_note" vbProcedure="false">Calc!$D$346</definedName>
    <definedName function="false" hidden="false" name="v_a_h_qty" vbProcedure="false">Calc!$D$343</definedName>
    <definedName function="false" hidden="false" name="v_a_h_type" vbProcedure="false">Calc!$D$344</definedName>
    <definedName function="false" hidden="false" name="v_a_h_type_shown" vbProcedure="false">Calc!$D$345</definedName>
    <definedName function="false" hidden="false" name="v_a_i" vbProcedure="false">Calc!$D$347</definedName>
    <definedName function="false" hidden="false" name="v_a_i_note" vbProcedure="false">Calc!$D$348</definedName>
    <definedName function="false" hidden="false" name="v_a_j" vbProcedure="false">Calc!$D$349</definedName>
    <definedName function="false" hidden="false" name="v_a_k" vbProcedure="false">Calc!$D$428</definedName>
    <definedName function="false" hidden="false" name="v_a_total" vbProcedure="false">Calc!$D$429</definedName>
    <definedName function="false" hidden="false" name="v_bin" vbProcedure="false">Calc!$D$22</definedName>
    <definedName function="false" hidden="false" name="v_biz_present" vbProcedure="false">Calc!$D$221</definedName>
    <definedName function="false" hidden="false" name="v_boxes_auto" vbProcedure="false">Calc!$D$39</definedName>
    <definedName function="false" hidden="false" name="v_box_65" vbProcedure="false">Calc!$D$44</definedName>
    <definedName function="false" hidden="false" name="v_box_disabled" vbProcedure="false">Calc!$D$43</definedName>
    <definedName function="false" hidden="false" name="v_box_female" vbProcedure="false">Calc!$D$41</definedName>
    <definedName function="false" hidden="false" name="v_box_ff" vbProcedure="false">Calc!$D$40</definedName>
    <definedName function="false" hidden="false" name="v_box_parent" vbProcedure="false">Calc!$D$45</definedName>
    <definedName function="false" hidden="false" name="v_box_third" vbProcedure="false">Calc!$D$42</definedName>
    <definedName function="false" hidden="false" name="v_cash_in" vbProcedure="false">Calc!$D$357</definedName>
    <definedName function="false" hidden="false" name="v_chk_balance" vbProcedure="false">Calc!$D$434</definedName>
    <definedName function="false" hidden="false" name="v_chk_biz" vbProcedure="false">Calc!$D$435</definedName>
    <definedName function="false" hidden="false" name="v_chk_cash" vbProcedure="false">Calc!$D$433</definedName>
    <definedName function="false" hidden="false" name="v_chk_deficit" vbProcedure="false">Calc!$D$436</definedName>
    <definedName function="false" hidden="false" name="v_chk_gift" vbProcedure="false">Calc!$D$432</definedName>
    <definedName function="false" hidden="false" name="v_chk_min" vbProcedure="false">Calc!$D$437</definedName>
    <definedName function="false" hidden="false" name="v_chk_name" vbProcedure="false">Calc!$D$430</definedName>
    <definedName function="false" hidden="false" name="v_chk_rules" vbProcedure="false">Calc!$D$438</definedName>
    <definedName function="false" hidden="false" name="v_chk_tin" vbProcedure="false">Calc!$D$431</definedName>
    <definedName function="false" hidden="false" name="v_circle" vbProcedure="false">Calc!$D$12</definedName>
    <definedName function="false" hidden="false" name="v_c_used" vbProcedure="false">Calc!$D$296</definedName>
    <definedName function="false" hidden="false" name="v_date" vbProcedure="false">Calc!$D$47</definedName>
    <definedName function="false" hidden="false" name="v_delay" vbProcedure="false">Calc!$D$314</definedName>
    <definedName function="false" hidden="false" name="v_dob_digits" vbProcedure="false">Calc!$D$28</definedName>
    <definedName function="false" hidden="false" name="v_doc1" vbProcedure="false">Calc!$D$48</definedName>
    <definedName function="false" hidden="false" name="v_doc2" vbProcedure="false">Calc!$D$49</definedName>
    <definedName function="false" hidden="false" name="v_doc3" vbProcedure="false">Calc!$D$50</definedName>
    <definedName function="false" hidden="false" name="v_doc4" vbProcedure="false">Calc!$D$51</definedName>
    <definedName function="false" hidden="false" name="v_doc5" vbProcedure="false">Calc!$D$52</definedName>
    <definedName function="false" hidden="false" name="v_doc6" vbProcedure="false">Calc!$D$53</definedName>
    <definedName function="false" hidden="false" name="v_doc7" vbProcedure="false">Calc!$D$54</definedName>
    <definedName function="false" hidden="false" name="v_email" vbProcedure="false">Calc!$D$19</definedName>
    <definedName function="false" hidden="false" name="v_employer" vbProcedure="false">Calc!$D$20</definedName>
    <definedName function="false" hidden="false" name="v_env" vbProcedure="false">Calc!$D$313</definedName>
    <definedName function="false" hidden="false" name="v_expenses" vbProcedure="false">Calc!$D$415</definedName>
    <definedName function="false" hidden="false" name="v_father_or_husband" vbProcedure="false">Calc!$D$24</definedName>
    <definedName function="false" hidden="false" name="v_first_return" vbProcedure="false">Calc!$D$37</definedName>
    <definedName function="false" hidden="false" name="v_gift_in" vbProcedure="false">Calc!$D$356</definedName>
    <definedName function="false" hidden="false" name="v_house_income" vbProcedure="false">Calc!$D$196</definedName>
    <definedName function="false" hidden="false" name="v_hp1_com" vbProcedure="false">Calc!$D$128</definedName>
    <definedName function="false" hidden="false" name="v_hp1_da" vbProcedure="false">Calc!$D$129</definedName>
    <definedName function="false" hidden="false" name="v_hp1_db" vbProcedure="false">Calc!$D$130</definedName>
    <definedName function="false" hidden="false" name="v_hp1_dc" vbProcedure="false">Calc!$D$131</definedName>
    <definedName function="false" hidden="false" name="v_hp1_dd" vbProcedure="false">Calc!$D$132</definedName>
    <definedName function="false" hidden="false" name="v_hp1_de" vbProcedure="false">Calc!$D$133</definedName>
    <definedName function="false" hidden="false" name="v_hp1_df" vbProcedure="false">Calc!$D$134</definedName>
    <definedName function="false" hidden="false" name="v_hp1_income" vbProcedure="false">Calc!$D$138</definedName>
    <definedName function="false" hidden="false" name="v_hp1_r1" vbProcedure="false">Calc!$D$122</definedName>
    <definedName function="false" hidden="false" name="v_hp1_r2" vbProcedure="false">Calc!$D$123</definedName>
    <definedName function="false" hidden="false" name="v_hp1_r3" vbProcedure="false">Calc!$D$124</definedName>
    <definedName function="false" hidden="false" name="v_hp1_r4" vbProcedure="false">Calc!$D$125</definedName>
    <definedName function="false" hidden="false" name="v_hp1_r5" vbProcedure="false">Calc!$D$126</definedName>
    <definedName function="false" hidden="false" name="v_hp1_r6" vbProcedure="false">Calc!$D$127</definedName>
    <definedName function="false" hidden="false" name="v_hp1_r8" vbProcedure="false">Calc!$D$135</definedName>
    <definedName function="false" hidden="false" name="v_hp1_r9" vbProcedure="false">Calc!$D$136</definedName>
    <definedName function="false" hidden="false" name="v_hp1_share" vbProcedure="false">Calc!$D$137</definedName>
    <definedName function="false" hidden="false" name="v_hp1_used" vbProcedure="false">Calc!$D$139</definedName>
    <definedName function="false" hidden="false" name="v_hp2_com" vbProcedure="false">Calc!$D$146</definedName>
    <definedName function="false" hidden="false" name="v_hp2_da" vbProcedure="false">Calc!$D$147</definedName>
    <definedName function="false" hidden="false" name="v_hp2_db" vbProcedure="false">Calc!$D$148</definedName>
    <definedName function="false" hidden="false" name="v_hp2_dc" vbProcedure="false">Calc!$D$149</definedName>
    <definedName function="false" hidden="false" name="v_hp2_dd" vbProcedure="false">Calc!$D$150</definedName>
    <definedName function="false" hidden="false" name="v_hp2_de" vbProcedure="false">Calc!$D$151</definedName>
    <definedName function="false" hidden="false" name="v_hp2_df" vbProcedure="false">Calc!$D$152</definedName>
    <definedName function="false" hidden="false" name="v_hp2_income" vbProcedure="false">Calc!$D$156</definedName>
    <definedName function="false" hidden="false" name="v_hp2_r1" vbProcedure="false">Calc!$D$140</definedName>
    <definedName function="false" hidden="false" name="v_hp2_r2" vbProcedure="false">Calc!$D$141</definedName>
    <definedName function="false" hidden="false" name="v_hp2_r3" vbProcedure="false">Calc!$D$142</definedName>
    <definedName function="false" hidden="false" name="v_hp2_r4" vbProcedure="false">Calc!$D$143</definedName>
    <definedName function="false" hidden="false" name="v_hp2_r5" vbProcedure="false">Calc!$D$144</definedName>
    <definedName function="false" hidden="false" name="v_hp2_r6" vbProcedure="false">Calc!$D$145</definedName>
    <definedName function="false" hidden="false" name="v_hp2_r8" vbProcedure="false">Calc!$D$153</definedName>
    <definedName function="false" hidden="false" name="v_hp2_r9" vbProcedure="false">Calc!$D$154</definedName>
    <definedName function="false" hidden="false" name="v_hp2_share" vbProcedure="false">Calc!$D$155</definedName>
    <definedName function="false" hidden="false" name="v_hp2_used" vbProcedure="false">Calc!$D$157</definedName>
    <definedName function="false" hidden="false" name="v_hp3_com" vbProcedure="false">Calc!$D$164</definedName>
    <definedName function="false" hidden="false" name="v_hp3_da" vbProcedure="false">Calc!$D$165</definedName>
    <definedName function="false" hidden="false" name="v_hp3_db" vbProcedure="false">Calc!$D$166</definedName>
    <definedName function="false" hidden="false" name="v_hp3_dc" vbProcedure="false">Calc!$D$167</definedName>
    <definedName function="false" hidden="false" name="v_hp3_dd" vbProcedure="false">Calc!$D$168</definedName>
    <definedName function="false" hidden="false" name="v_hp3_de" vbProcedure="false">Calc!$D$169</definedName>
    <definedName function="false" hidden="false" name="v_hp3_df" vbProcedure="false">Calc!$D$170</definedName>
    <definedName function="false" hidden="false" name="v_hp3_income" vbProcedure="false">Calc!$D$174</definedName>
    <definedName function="false" hidden="false" name="v_hp3_r1" vbProcedure="false">Calc!$D$158</definedName>
    <definedName function="false" hidden="false" name="v_hp3_r2" vbProcedure="false">Calc!$D$159</definedName>
    <definedName function="false" hidden="false" name="v_hp3_r3" vbProcedure="false">Calc!$D$160</definedName>
    <definedName function="false" hidden="false" name="v_hp3_r4" vbProcedure="false">Calc!$D$161</definedName>
    <definedName function="false" hidden="false" name="v_hp3_r5" vbProcedure="false">Calc!$D$162</definedName>
    <definedName function="false" hidden="false" name="v_hp3_r6" vbProcedure="false">Calc!$D$163</definedName>
    <definedName function="false" hidden="false" name="v_hp3_r8" vbProcedure="false">Calc!$D$171</definedName>
    <definedName function="false" hidden="false" name="v_hp3_r9" vbProcedure="false">Calc!$D$172</definedName>
    <definedName function="false" hidden="false" name="v_hp3_share" vbProcedure="false">Calc!$D$173</definedName>
    <definedName function="false" hidden="false" name="v_hp3_used" vbProcedure="false">Calc!$D$175</definedName>
    <definedName function="false" hidden="false" name="v_is_disabled" vbProcedure="false">Calc!$D$33</definedName>
    <definedName function="false" hidden="false" name="v_is_female" vbProcedure="false">Calc!$D$30</definedName>
    <definedName function="false" hidden="false" name="v_is_ff" vbProcedure="false">Calc!$D$34</definedName>
    <definedName function="false" hidden="false" name="v_is_july" vbProcedure="false">Calc!$D$35</definedName>
    <definedName function="false" hidden="false" name="v_is_parent" vbProcedure="false">Calc!$D$36</definedName>
    <definedName function="false" hidden="false" name="v_is_senior" vbProcedure="false">Calc!$D$32</definedName>
    <definedName function="false" hidden="false" name="v_is_third" vbProcedure="false">Calc!$D$31</definedName>
    <definedName function="false" hidden="false" name="v_iy_end_dmy" vbProcedure="false">Calc!$D$7</definedName>
    <definedName function="false" hidden="false" name="v_iy_end_mdy" vbProcedure="false">Calc!$D$6</definedName>
    <definedName function="false" hidden="false" name="v_k0" vbProcedure="false">Calc!$D$362</definedName>
    <definedName function="false" hidden="false" name="v_lb_c1" vbProcedure="false">Calc!$D$404</definedName>
    <definedName function="false" hidden="false" name="v_lb_c2" vbProcedure="false">Calc!$D$405</definedName>
    <definedName function="false" hidden="false" name="v_lb_c3" vbProcedure="false">Calc!$D$406</definedName>
    <definedName function="false" hidden="false" name="v_lb_c4" vbProcedure="false">Calc!$D$407</definedName>
    <definedName function="false" hidden="false" name="v_lb_c5" vbProcedure="false">Calc!$D$408</definedName>
    <definedName function="false" hidden="false" name="v_lb_c6" vbProcedure="false">Calc!$D$409</definedName>
    <definedName function="false" hidden="false" name="v_lb_c7" vbProcedure="false">Calc!$D$410</definedName>
    <definedName function="false" hidden="false" name="v_lb_c8" vbProcedure="false">Calc!$D$411</definedName>
    <definedName function="false" hidden="false" name="v_lb_c9" vbProcedure="false">Calc!$D$412</definedName>
    <definedName function="false" hidden="false" name="v_lb_r1" vbProcedure="false">Calc!$D$395</definedName>
    <definedName function="false" hidden="false" name="v_lb_r2" vbProcedure="false">Calc!$D$396</definedName>
    <definedName function="false" hidden="false" name="v_lb_r3" vbProcedure="false">Calc!$D$397</definedName>
    <definedName function="false" hidden="false" name="v_lb_r4" vbProcedure="false">Calc!$D$398</definedName>
    <definedName function="false" hidden="false" name="v_lb_r5" vbProcedure="false">Calc!$D$399</definedName>
    <definedName function="false" hidden="false" name="v_lb_r6" vbProcedure="false">Calc!$D$400</definedName>
    <definedName function="false" hidden="false" name="v_lb_r7" vbProcedure="false">Calc!$D$401</definedName>
    <definedName function="false" hidden="false" name="v_lb_r8" vbProcedure="false">Calc!$D$402</definedName>
    <definedName function="false" hidden="false" name="v_lb_r9" vbProcedure="false">Calc!$D$403</definedName>
    <definedName function="false" hidden="false" name="v_lb_total" vbProcedure="false">Calc!$D$413</definedName>
    <definedName function="false" hidden="false" name="v_lb_total2" vbProcedure="false">Calc!$D$414</definedName>
    <definedName function="false" hidden="false" name="v_life_base" vbProcedure="false">Calc!$D$361</definedName>
    <definedName function="false" hidden="false" name="v_mobile" vbProcedure="false">Calc!$D$18</definedName>
    <definedName function="false" hidden="false" name="v_mode" vbProcedure="false">Calc!$D$360</definedName>
    <definedName function="false" hidden="false" name="v_name" vbProcedure="false">Calc!$D$8</definedName>
    <definedName function="false" hidden="false" name="v_name_line" vbProcedure="false">Calc!$D$9</definedName>
    <definedName function="false" hidden="false" name="v_nid" vbProcedure="false">Calc!$D$11</definedName>
    <definedName function="false" hidden="false" name="v_nonresident" vbProcedure="false">Calc!$D$27</definedName>
    <definedName function="false" hidden="false" name="v_non_cash" vbProcedure="false">Calc!$D$350</definedName>
    <definedName function="false" hidden="false" name="v_nw0" vbProcedure="false">Calc!$D$364</definedName>
    <definedName function="false" hidden="false" name="v_organization" vbProcedure="false">Calc!$D$21</definedName>
    <definedName function="false" hidden="false" name="v_other_out" vbProcedure="false">Calc!$D$355</definedName>
    <definedName function="false" hidden="false" name="v_p24_0" vbProcedure="false">Calc!$D$363</definedName>
    <definedName function="false" hidden="false" name="v_paid_given" vbProcedure="false">Calc!$D$315</definedName>
    <definedName function="false" hidden="false" name="v_partners" vbProcedure="false">Calc!$D$23</definedName>
    <definedName function="false" hidden="false" name="v_place" vbProcedure="false">Calc!$D$25</definedName>
    <definedName function="false" hidden="false" name="v_prev" vbProcedure="false">Calc!$D$359</definedName>
    <definedName function="false" hidden="false" name="v_prev_given" vbProcedure="false">Calc!$D$358</definedName>
    <definedName function="false" hidden="false" name="v_r1" vbProcedure="false">Calc!$D$222</definedName>
    <definedName function="false" hidden="false" name="v_r10" vbProcedure="false">Calc!$D$231</definedName>
    <definedName function="false" hidden="false" name="v_r11" vbProcedure="false">Calc!$D$232</definedName>
    <definedName function="false" hidden="false" name="v_r12" vbProcedure="false">Calc!$D$376</definedName>
    <definedName function="false" hidden="false" name="v_r13" vbProcedure="false">Calc!$D$377</definedName>
    <definedName function="false" hidden="false" name="v_r14" vbProcedure="false">Calc!$D$378</definedName>
    <definedName function="false" hidden="false" name="v_r15" vbProcedure="false">Calc!$D$379</definedName>
    <definedName function="false" hidden="false" name="v_r16" vbProcedure="false">Calc!$D$380</definedName>
    <definedName function="false" hidden="false" name="v_r17" vbProcedure="false">Calc!$D$383</definedName>
    <definedName function="false" hidden="false" name="v_r17a" vbProcedure="false">Calc!$D$381</definedName>
    <definedName function="false" hidden="false" name="v_r17b" vbProcedure="false">Calc!$D$382</definedName>
    <definedName function="false" hidden="false" name="v_r18" vbProcedure="false">Calc!$D$384</definedName>
    <definedName function="false" hidden="false" name="v_r19" vbProcedure="false">Calc!$D$385</definedName>
    <definedName function="false" hidden="false" name="v_r2" vbProcedure="false">Calc!$D$223</definedName>
    <definedName function="false" hidden="false" name="v_r20" vbProcedure="false">Calc!$D$386</definedName>
    <definedName function="false" hidden="false" name="v_r21" vbProcedure="false">Calc!$D$387</definedName>
    <definedName function="false" hidden="false" name="v_r22" vbProcedure="false">Calc!$D$388</definedName>
    <definedName function="false" hidden="false" name="v_r22_years" vbProcedure="false">Calc!$D$389</definedName>
    <definedName function="false" hidden="false" name="v_r23" vbProcedure="false">Calc!$D$390</definedName>
    <definedName function="false" hidden="false" name="v_r24" vbProcedure="false">Calc!$D$391</definedName>
    <definedName function="false" hidden="false" name="v_r25" vbProcedure="false">Calc!$D$392</definedName>
    <definedName function="false" hidden="false" name="v_r26" vbProcedure="false">Calc!$D$256</definedName>
    <definedName function="false" hidden="false" name="v_r3" vbProcedure="false">Calc!$D$224</definedName>
    <definedName function="false" hidden="false" name="v_r4" vbProcedure="false">Calc!$D$225</definedName>
    <definedName function="false" hidden="false" name="v_r5" vbProcedure="false">Calc!$D$226</definedName>
    <definedName function="false" hidden="false" name="v_r6" vbProcedure="false">Calc!$D$227</definedName>
    <definedName function="false" hidden="false" name="v_r7" vbProcedure="false">Calc!$D$228</definedName>
    <definedName function="false" hidden="false" name="v_r8" vbProcedure="false">Calc!$D$229</definedName>
    <definedName function="false" hidden="false" name="v_r9" vbProcedure="false">Calc!$D$230</definedName>
    <definedName function="false" hidden="false" name="v_relation" vbProcedure="false">Calc!$D$46</definedName>
    <definedName function="false" hidden="false" name="v_resident" vbProcedure="false">Calc!$D$26</definedName>
    <definedName function="false" hidden="false" name="v_s1a_arrear_pay_exm" vbProcedure="false">Calc!$D$72</definedName>
    <definedName function="false" hidden="false" name="v_s1a_arrear_pay_inc" vbProcedure="false">Calc!$D$56</definedName>
    <definedName function="false" hidden="false" name="v_s1a_arrear_pay_tax" vbProcedure="false">Calc!$D$88</definedName>
    <definedName function="false" hidden="false" name="v_s1a_baishakhi_allowance_exm" vbProcedure="false">Calc!$D$82</definedName>
    <definedName function="false" hidden="false" name="v_s1a_baishakhi_allowance_inc" vbProcedure="false">Calc!$D$66</definedName>
    <definedName function="false" hidden="false" name="v_s1a_baishakhi_allowance_tax" vbProcedure="false">Calc!$D$98</definedName>
    <definedName function="false" hidden="false" name="v_s1a_basic_pay_exm" vbProcedure="false">Calc!$D$71</definedName>
    <definedName function="false" hidden="false" name="v_s1a_basic_pay_inc" vbProcedure="false">Calc!$D$55</definedName>
    <definedName function="false" hidden="false" name="v_s1a_basic_pay_tax" vbProcedure="false">Calc!$D$87</definedName>
    <definedName function="false" hidden="false" name="v_s1a_conveyance_allowance_exm" vbProcedure="false">Calc!$D$76</definedName>
    <definedName function="false" hidden="false" name="v_s1a_conveyance_allowance_inc" vbProcedure="false">Calc!$D$60</definedName>
    <definedName function="false" hidden="false" name="v_s1a_conveyance_allowance_tax" vbProcedure="false">Calc!$D$92</definedName>
    <definedName function="false" hidden="false" name="v_s1a_exm" vbProcedure="false">Calc!$D$104</definedName>
    <definedName function="false" hidden="false" name="v_s1a_festival_allowance_exm" vbProcedure="false">Calc!$D$77</definedName>
    <definedName function="false" hidden="false" name="v_s1a_festival_allowance_inc" vbProcedure="false">Calc!$D$61</definedName>
    <definedName function="false" hidden="false" name="v_s1a_festival_allowance_tax" vbProcedure="false">Calc!$D$93</definedName>
    <definedName function="false" hidden="false" name="v_s1a_gratuity_exm" vbProcedure="false">Calc!$D$85</definedName>
    <definedName function="false" hidden="false" name="v_s1a_gratuity_inc" vbProcedure="false">Calc!$D$69</definedName>
    <definedName function="false" hidden="false" name="v_s1a_gratuity_tax" vbProcedure="false">Calc!$D$101</definedName>
    <definedName function="false" hidden="false" name="v_s1a_honorarium_exm" vbProcedure="false">Calc!$D$80</definedName>
    <definedName function="false" hidden="false" name="v_s1a_honorarium_inc" vbProcedure="false">Calc!$D$64</definedName>
    <definedName function="false" hidden="false" name="v_s1a_honorarium_tax" vbProcedure="false">Calc!$D$96</definedName>
    <definedName function="false" hidden="false" name="v_s1a_house_rent_allowance_exm" vbProcedure="false">Calc!$D$74</definedName>
    <definedName function="false" hidden="false" name="v_s1a_house_rent_allowance_inc" vbProcedure="false">Calc!$D$58</definedName>
    <definedName function="false" hidden="false" name="v_s1a_house_rent_allowance_tax" vbProcedure="false">Calc!$D$90</definedName>
    <definedName function="false" hidden="false" name="v_s1a_inc" vbProcedure="false">Calc!$D$103</definedName>
    <definedName function="false" hidden="false" name="v_s1a_lamp_grant_exm" vbProcedure="false">Calc!$D$84</definedName>
    <definedName function="false" hidden="false" name="v_s1a_lamp_grant_inc" vbProcedure="false">Calc!$D$68</definedName>
    <definedName function="false" hidden="false" name="v_s1a_lamp_grant_tax" vbProcedure="false">Calc!$D$100</definedName>
    <definedName function="false" hidden="false" name="v_s1a_leave_allowance_exm" vbProcedure="false">Calc!$D$79</definedName>
    <definedName function="false" hidden="false" name="v_s1a_leave_allowance_inc" vbProcedure="false">Calc!$D$63</definedName>
    <definedName function="false" hidden="false" name="v_s1a_leave_allowance_tax" vbProcedure="false">Calc!$D$95</definedName>
    <definedName function="false" hidden="false" name="v_s1a_medical_allowance_exm" vbProcedure="false">Calc!$D$75</definedName>
    <definedName function="false" hidden="false" name="v_s1a_medical_allowance_inc" vbProcedure="false">Calc!$D$59</definedName>
    <definedName function="false" hidden="false" name="v_s1a_medical_allowance_tax" vbProcedure="false">Calc!$D$91</definedName>
    <definedName function="false" hidden="false" name="v_s1a_others_exm" vbProcedure="false">Calc!$D$86</definedName>
    <definedName function="false" hidden="false" name="v_s1a_others_inc" vbProcedure="false">Calc!$D$70</definedName>
    <definedName function="false" hidden="false" name="v_s1a_others_tax" vbProcedure="false">Calc!$D$102</definedName>
    <definedName function="false" hidden="false" name="v_s1a_overtime_allowance_exm" vbProcedure="false">Calc!$D$81</definedName>
    <definedName function="false" hidden="false" name="v_s1a_overtime_allowance_inc" vbProcedure="false">Calc!$D$65</definedName>
    <definedName function="false" hidden="false" name="v_s1a_overtime_allowance_tax" vbProcedure="false">Calc!$D$97</definedName>
    <definedName function="false" hidden="false" name="v_s1a_pf_interest_exm" vbProcedure="false">Calc!$D$83</definedName>
    <definedName function="false" hidden="false" name="v_s1a_pf_interest_inc" vbProcedure="false">Calc!$D$67</definedName>
    <definedName function="false" hidden="false" name="v_s1a_pf_interest_tax" vbProcedure="false">Calc!$D$99</definedName>
    <definedName function="false" hidden="false" name="v_s1a_special_allowance_exm" vbProcedure="false">Calc!$D$73</definedName>
    <definedName function="false" hidden="false" name="v_s1a_special_allowance_inc" vbProcedure="false">Calc!$D$57</definedName>
    <definedName function="false" hidden="false" name="v_s1a_special_allowance_tax" vbProcedure="false">Calc!$D$89</definedName>
    <definedName function="false" hidden="false" name="v_s1a_support_staff_allowance_exm" vbProcedure="false">Calc!$D$78</definedName>
    <definedName function="false" hidden="false" name="v_s1a_support_staff_allowance_inc" vbProcedure="false">Calc!$D$62</definedName>
    <definedName function="false" hidden="false" name="v_s1a_support_staff_allowance_tax" vbProcedure="false">Calc!$D$94</definedName>
    <definedName function="false" hidden="false" name="v_s1a_tax" vbProcedure="false">Calc!$D$105</definedName>
    <definedName function="false" hidden="false" name="v_s1b_accommodation" vbProcedure="false">Calc!$D$113</definedName>
    <definedName function="false" hidden="false" name="v_s1b_advance_salary" vbProcedure="false">Calc!$D$108</definedName>
    <definedName function="false" hidden="false" name="v_s1b_allowances" vbProcedure="false">Calc!$D$107</definedName>
    <definedName function="false" hidden="false" name="v_s1b_basic_pay" vbProcedure="false">Calc!$D$106</definedName>
    <definedName function="false" hidden="false" name="v_s1b_car_benefit" vbProcedure="false">Calc!$D$114</definedName>
    <definedName function="false" hidden="false" name="v_s1b_employee_share_scheme" vbProcedure="false">Calc!$D$112</definedName>
    <definedName function="false" hidden="false" name="v_s1b_employer_pf_contribution" vbProcedure="false">Calc!$D$116</definedName>
    <definedName function="false" hidden="false" name="v_s1b_exempt" vbProcedure="false">Calc!$D$120</definedName>
    <definedName function="false" hidden="false" name="v_s1b_gratuity_pension" vbProcedure="false">Calc!$D$109</definedName>
    <definedName function="false" hidden="false" name="v_s1b_in_lieu_of_salary" vbProcedure="false">Calc!$D$111</definedName>
    <definedName function="false" hidden="false" name="v_s1b_net" vbProcedure="false">Calc!$D$121</definedName>
    <definedName function="false" hidden="false" name="v_s1b_others" vbProcedure="false">Calc!$D$117</definedName>
    <definedName function="false" hidden="false" name="v_s1b_other_benefits" vbProcedure="false">Calc!$D$115</definedName>
    <definedName function="false" hidden="false" name="v_s1b_perquisites" vbProcedure="false">Calc!$D$110</definedName>
    <definedName function="false" hidden="false" name="v_s1b_sub" vbProcedure="false">Calc!$D$118</definedName>
    <definedName function="false" hidden="false" name="v_s1b_total" vbProcedure="false">Calc!$D$119</definedName>
    <definedName function="false" hidden="false" name="v_s2_da" vbProcedure="false">Calc!$D$182</definedName>
    <definedName function="false" hidden="false" name="v_s2_db" vbProcedure="false">Calc!$D$183</definedName>
    <definedName function="false" hidden="false" name="v_s2_dc" vbProcedure="false">Calc!$D$184</definedName>
    <definedName function="false" hidden="false" name="v_s2_dd" vbProcedure="false">Calc!$D$185</definedName>
    <definedName function="false" hidden="false" name="v_s2_de" vbProcedure="false">Calc!$D$186</definedName>
    <definedName function="false" hidden="false" name="v_s2_desc" vbProcedure="false">Calc!$D$195</definedName>
    <definedName function="false" hidden="false" name="v_s2_df" vbProcedure="false">Calc!$D$187</definedName>
    <definedName function="false" hidden="false" name="v_s2_ncom" vbProcedure="false">Calc!$D$193</definedName>
    <definedName function="false" hidden="false" name="v_s2_nused" vbProcedure="false">Calc!$D$192</definedName>
    <definedName function="false" hidden="false" name="v_s2_r1" vbProcedure="false">Calc!$D$176</definedName>
    <definedName function="false" hidden="false" name="v_s2_r10" vbProcedure="false">Calc!$D$191</definedName>
    <definedName function="false" hidden="false" name="v_s2_r2" vbProcedure="false">Calc!$D$177</definedName>
    <definedName function="false" hidden="false" name="v_s2_r3" vbProcedure="false">Calc!$D$178</definedName>
    <definedName function="false" hidden="false" name="v_s2_r4" vbProcedure="false">Calc!$D$179</definedName>
    <definedName function="false" hidden="false" name="v_s2_r5" vbProcedure="false">Calc!$D$180</definedName>
    <definedName function="false" hidden="false" name="v_s2_r6" vbProcedure="false">Calc!$D$181</definedName>
    <definedName function="false" hidden="false" name="v_s2_r7" vbProcedure="false">Calc!$D$190</definedName>
    <definedName function="false" hidden="false" name="v_s2_r8" vbProcedure="false">Calc!$D$188</definedName>
    <definedName function="false" hidden="false" name="v_s2_r9" vbProcedure="false">Calc!$D$189</definedName>
    <definedName function="false" hidden="false" name="v_s2_rate" vbProcedure="false">Calc!$D$194</definedName>
    <definedName function="false" hidden="false" name="v_s3_nature" vbProcedure="false">Calc!$D$197</definedName>
    <definedName function="false" hidden="false" name="v_s3_r1" vbProcedure="false">Calc!$D$198</definedName>
    <definedName function="false" hidden="false" name="v_s3_r2" vbProcedure="false">Calc!$D$199</definedName>
    <definedName function="false" hidden="false" name="v_s3_r3" vbProcedure="false">Calc!$D$200</definedName>
    <definedName function="false" hidden="false" name="v_s3_r4" vbProcedure="false">Calc!$D$201</definedName>
    <definedName function="false" hidden="false" name="v_s4_address" vbProcedure="false">Calc!$D$204</definedName>
    <definedName function="false" hidden="false" name="v_s4_name" vbProcedure="false">Calc!$D$202</definedName>
    <definedName function="false" hidden="false" name="v_s4_nature" vbProcedure="false">Calc!$D$203</definedName>
    <definedName function="false" hidden="false" name="v_s4_r1" vbProcedure="false">Calc!$D$205</definedName>
    <definedName function="false" hidden="false" name="v_s4_r10" vbProcedure="false">Calc!$D$214</definedName>
    <definedName function="false" hidden="false" name="v_s4_r11" vbProcedure="false">Calc!$D$215</definedName>
    <definedName function="false" hidden="false" name="v_s4_r12" vbProcedure="false">Calc!$D$216</definedName>
    <definedName function="false" hidden="false" name="v_s4_r13" vbProcedure="false">Calc!$D$217</definedName>
    <definedName function="false" hidden="false" name="v_s4_r14" vbProcedure="false">Calc!$D$218</definedName>
    <definedName function="false" hidden="false" name="v_s4_r15" vbProcedure="false">Calc!$D$219</definedName>
    <definedName function="false" hidden="false" name="v_s4_r16" vbProcedure="false">Calc!$D$220</definedName>
    <definedName function="false" hidden="false" name="v_s4_r2" vbProcedure="false">Calc!$D$206</definedName>
    <definedName function="false" hidden="false" name="v_s4_r3" vbProcedure="false">Calc!$D$207</definedName>
    <definedName function="false" hidden="false" name="v_s4_r4" vbProcedure="false">Calc!$D$208</definedName>
    <definedName function="false" hidden="false" name="v_s4_r5" vbProcedure="false">Calc!$D$209</definedName>
    <definedName function="false" hidden="false" name="v_s4_r6" vbProcedure="false">Calc!$D$210</definedName>
    <definedName function="false" hidden="false" name="v_s4_r7" vbProcedure="false">Calc!$D$211</definedName>
    <definedName function="false" hidden="false" name="v_s4_r8" vbProcedure="false">Calc!$D$212</definedName>
    <definedName function="false" hidden="false" name="v_s4_r9" vbProcedure="false">Calc!$D$213</definedName>
    <definedName function="false" hidden="false" name="v_s5_r1" vbProcedure="false">Calc!$D$280</definedName>
    <definedName function="false" hidden="false" name="v_s5_r10" vbProcedure="false">Calc!$D$289</definedName>
    <definedName function="false" hidden="false" name="v_s5_r11" vbProcedure="false">Calc!$D$290</definedName>
    <definedName function="false" hidden="false" name="v_s5_r12" vbProcedure="false">Calc!$D$295</definedName>
    <definedName function="false" hidden="false" name="v_s5_r2" vbProcedure="false">Calc!$D$281</definedName>
    <definedName function="false" hidden="false" name="v_s5_r3" vbProcedure="false">Calc!$D$282</definedName>
    <definedName function="false" hidden="false" name="v_s5_r4" vbProcedure="false">Calc!$D$283</definedName>
    <definedName function="false" hidden="false" name="v_s5_r5" vbProcedure="false">Calc!$D$284</definedName>
    <definedName function="false" hidden="false" name="v_s5_r6" vbProcedure="false">Calc!$D$285</definedName>
    <definedName function="false" hidden="false" name="v_s5_r7" vbProcedure="false">Calc!$D$286</definedName>
    <definedName function="false" hidden="false" name="v_s5_r8" vbProcedure="false">Calc!$D$287</definedName>
    <definedName function="false" hidden="false" name="v_s5_r9" vbProcedure="false">Calc!$D$288</definedName>
    <definedName function="false" hidden="false" name="v_spouse_name" vbProcedure="false">Calc!$D$14</definedName>
    <definedName function="false" hidden="false" name="v_spouse_tin" vbProcedure="false">Calc!$D$15</definedName>
    <definedName function="false" hidden="false" name="v_surcharge" vbProcedure="false">Calc!$D$367</definedName>
    <definedName function="false" hidden="false" name="v_sur_band_rate" vbProcedure="false">Calc!$D$365</definedName>
    <definedName function="false" hidden="false" name="v_sur_rate" vbProcedure="false">Calc!$D$366</definedName>
    <definedName function="false" hidden="false" name="v_tc_A" vbProcedure="false">Calc!$D$257</definedName>
    <definedName function="false" hidden="false" name="v_tc_An" vbProcedure="false">Calc!$D$259</definedName>
    <definedName function="false" hidden="false" name="v_tc_B" vbProcedure="false">Calc!$D$279</definedName>
    <definedName function="false" hidden="false" name="v_tc_C" vbProcedure="false">Calc!$D$294</definedName>
    <definedName function="false" hidden="false" name="v_tc_challan" vbProcedure="false">Calc!$D$374</definedName>
    <definedName function="false" hidden="false" name="v_tc_ci" vbProcedure="false">Calc!$D$291</definedName>
    <definedName function="false" hidden="false" name="v_tc_cii" vbProcedure="false">Calc!$D$292</definedName>
    <definedName function="false" hidden="false" name="v_tc_ciii" vbProcedure="false">Calc!$D$293</definedName>
    <definedName function="false" hidden="false" name="v_tc_D" vbProcedure="false">Calc!$D$297</definedName>
    <definedName function="false" hidden="false" name="v_tc_E" vbProcedure="false">Calc!$D$301</definedName>
    <definedName function="false" hidden="false" name="v_tc_ei" vbProcedure="false">Calc!$D$298</definedName>
    <definedName function="false" hidden="false" name="v_tc_eii" vbProcedure="false">Calc!$D$299</definedName>
    <definedName function="false" hidden="false" name="v_tc_eiii" vbProcedure="false">Calc!$D$300</definedName>
    <definedName function="false" hidden="false" name="v_tc_F" vbProcedure="false">Calc!$D$302</definedName>
    <definedName function="false" hidden="false" name="v_tc_G" vbProcedure="false">Calc!$D$370</definedName>
    <definedName function="false" hidden="false" name="v_tc_gd" vbProcedure="false">Calc!$D$369</definedName>
    <definedName function="false" hidden="false" name="v_tc_gs" vbProcedure="false">Calc!$D$368</definedName>
    <definedName function="false" hidden="false" name="v_tc_H" vbProcedure="false">Calc!$D$312</definedName>
    <definedName function="false" hidden="false" name="v_tc_I" vbProcedure="false">Calc!$D$371</definedName>
    <definedName function="false" hidden="false" name="v_tc_j1" vbProcedure="false">Calc!$D$303</definedName>
    <definedName function="false" hidden="false" name="v_tc_j2" vbProcedure="false">Calc!$D$304</definedName>
    <definedName function="false" hidden="false" name="v_tc_j3" vbProcedure="false">Calc!$D$305</definedName>
    <definedName function="false" hidden="false" name="v_tc_j4" vbProcedure="false">Calc!$D$306</definedName>
    <definedName function="false" hidden="false" name="v_tc_j5" vbProcedure="false">Calc!$D$307</definedName>
    <definedName function="false" hidden="false" name="v_tc_j6" vbProcedure="false">Calc!$D$308</definedName>
    <definedName function="false" hidden="false" name="v_tc_j7" vbProcedure="false">Calc!$D$309</definedName>
    <definedName function="false" hidden="false" name="v_tc_jsub1" vbProcedure="false">Calc!$D$310</definedName>
    <definedName function="false" hidden="false" name="v_tc_jsub2" vbProcedure="false">Calc!$D$311</definedName>
    <definedName function="false" hidden="false" name="v_tc_K" vbProcedure="false">Calc!$D$372</definedName>
    <definedName function="false" hidden="false" name="v_tc_net" vbProcedure="false">Calc!$D$375</definedName>
    <definedName function="false" hidden="false" name="v_tc_paid" vbProcedure="false">Calc!$D$373</definedName>
    <definedName function="false" hidden="false" name="v_tc_s0_inc" vbProcedure="false">Calc!$D$260</definedName>
    <definedName function="false" hidden="false" name="v_tc_s0_rate" vbProcedure="false">Calc!$D$266</definedName>
    <definedName function="false" hidden="false" name="v_tc_s0_tax" vbProcedure="false">Calc!$D$272</definedName>
    <definedName function="false" hidden="false" name="v_tc_s1_inc" vbProcedure="false">Calc!$D$261</definedName>
    <definedName function="false" hidden="false" name="v_tc_s1_rate" vbProcedure="false">Calc!$D$267</definedName>
    <definedName function="false" hidden="false" name="v_tc_s1_tax" vbProcedure="false">Calc!$D$273</definedName>
    <definedName function="false" hidden="false" name="v_tc_s2_inc" vbProcedure="false">Calc!$D$262</definedName>
    <definedName function="false" hidden="false" name="v_tc_s2_rate" vbProcedure="false">Calc!$D$268</definedName>
    <definedName function="false" hidden="false" name="v_tc_s2_tax" vbProcedure="false">Calc!$D$274</definedName>
    <definedName function="false" hidden="false" name="v_tc_s3_inc" vbProcedure="false">Calc!$D$263</definedName>
    <definedName function="false" hidden="false" name="v_tc_s3_rate" vbProcedure="false">Calc!$D$269</definedName>
    <definedName function="false" hidden="false" name="v_tc_s3_tax" vbProcedure="false">Calc!$D$275</definedName>
    <definedName function="false" hidden="false" name="v_tc_s4_inc" vbProcedure="false">Calc!$D$264</definedName>
    <definedName function="false" hidden="false" name="v_tc_s4_rate" vbProcedure="false">Calc!$D$270</definedName>
    <definedName function="false" hidden="false" name="v_tc_s4_tax" vbProcedure="false">Calc!$D$276</definedName>
    <definedName function="false" hidden="false" name="v_tc_s5_inc" vbProcedure="false">Calc!$D$265</definedName>
    <definedName function="false" hidden="false" name="v_tc_s5_rate" vbProcedure="false">Calc!$D$271</definedName>
    <definedName function="false" hidden="false" name="v_tc_s5_tax" vbProcedure="false">Calc!$D$277</definedName>
    <definedName function="false" hidden="false" name="v_tc_sinc" vbProcedure="false">Calc!$D$278</definedName>
    <definedName function="false" hidden="false" name="v_tc_sp" vbProcedure="false">Calc!$D$258</definedName>
    <definedName function="false" hidden="false" name="v_telephone" vbProcedure="false">Calc!$D$17</definedName>
    <definedName function="false" hidden="false" name="v_tf_r01" vbProcedure="false">Calc!$D$233</definedName>
    <definedName function="false" hidden="false" name="v_tf_r02" vbProcedure="false">Calc!$D$234</definedName>
    <definedName function="false" hidden="false" name="v_tf_r03" vbProcedure="false">Calc!$D$235</definedName>
    <definedName function="false" hidden="false" name="v_tf_r04" vbProcedure="false">Calc!$D$236</definedName>
    <definedName function="false" hidden="false" name="v_tf_r05" vbProcedure="false">Calc!$D$237</definedName>
    <definedName function="false" hidden="false" name="v_tf_r06" vbProcedure="false">Calc!$D$238</definedName>
    <definedName function="false" hidden="false" name="v_tf_r07" vbProcedure="false">Calc!$D$239</definedName>
    <definedName function="false" hidden="false" name="v_tf_r08" vbProcedure="false">Calc!$D$240</definedName>
    <definedName function="false" hidden="false" name="v_tf_r09" vbProcedure="false">Calc!$D$241</definedName>
    <definedName function="false" hidden="false" name="v_tf_r10" vbProcedure="false">Calc!$D$242</definedName>
    <definedName function="false" hidden="false" name="v_tf_r11" vbProcedure="false">Calc!$D$243</definedName>
    <definedName function="false" hidden="false" name="v_tf_r12" vbProcedure="false">Calc!$D$244</definedName>
    <definedName function="false" hidden="false" name="v_tf_r13" vbProcedure="false">Calc!$D$245</definedName>
    <definedName function="false" hidden="false" name="v_tf_r14" vbProcedure="false">Calc!$D$246</definedName>
    <definedName function="false" hidden="false" name="v_tf_r15" vbProcedure="false">Calc!$D$247</definedName>
    <definedName function="false" hidden="false" name="v_tf_r16" vbProcedure="false">Calc!$D$248</definedName>
    <definedName function="false" hidden="false" name="v_tf_r17" vbProcedure="false">Calc!$D$249</definedName>
    <definedName function="false" hidden="false" name="v_tf_r18" vbProcedure="false">Calc!$D$250</definedName>
    <definedName function="false" hidden="false" name="v_tf_r19" vbProcedure="false">Calc!$D$251</definedName>
    <definedName function="false" hidden="false" name="v_tf_r20" vbProcedure="false">Calc!$D$252</definedName>
    <definedName function="false" hidden="false" name="v_tf_r21" vbProcedure="false">Calc!$D$253</definedName>
    <definedName function="false" hidden="false" name="v_tf_r22" vbProcedure="false">Calc!$D$254</definedName>
    <definedName function="false" hidden="false" name="v_tf_total" vbProcedure="false">Calc!$D$255</definedName>
    <definedName function="false" hidden="false" name="v_threshold" vbProcedure="false">Calc!$D$38</definedName>
    <definedName function="false" hidden="false" name="v_tin" vbProcedure="false">Calc!$D$10</definedName>
    <definedName function="false" hidden="false" name="v_w_1a" vbProcedure="false">Calc!$D$416</definedName>
    <definedName function="false" hidden="false" name="v_w_1b" vbProcedure="false">Calc!$D$417</definedName>
    <definedName function="false" hidden="false" name="v_w_1c" vbProcedure="false">Calc!$D$418</definedName>
    <definedName function="false" hidden="false" name="v_w_2" vbProcedure="false">Calc!$D$421</definedName>
    <definedName function="false" hidden="false" name="v_w_3" vbProcedure="false">Calc!$D$422</definedName>
    <definedName function="false" hidden="false" name="v_w_4a" vbProcedure="false">Calc!$D$423</definedName>
    <definedName function="false" hidden="false" name="v_w_4b" vbProcedure="false">Calc!$D$424</definedName>
    <definedName function="false" hidden="false" name="v_w_5" vbProcedure="false">Calc!$D$426</definedName>
    <definedName function="false" hidden="false" name="v_w_6a" vbProcedure="false">Calc!$D$351</definedName>
    <definedName function="false" hidden="false" name="v_w_6b" vbProcedure="false">Calc!$D$352</definedName>
    <definedName function="false" hidden="false" name="v_w_6c" vbProcedure="false">Calc!$D$353</definedName>
    <definedName function="false" hidden="false" name="v_w_7" vbProcedure="false">Calc!$D$427</definedName>
    <definedName function="false" hidden="false" name="v_w_exp" vbProcedure="false">Calc!$D$425</definedName>
    <definedName function="false" hidden="false" name="v_w_gift_label" vbProcedure="false">Calc!$D$419</definedName>
    <definedName function="false" hidden="false" name="v_w_liab" vbProcedure="false">Calc!$D$354</definedName>
    <definedName function="false" hidden="false" name="v_w_src" vbProcedure="false">Calc!$D$420</definedName>
    <definedName function="false" hidden="false" name="v_zone" vbProcedure="false">Calc!$D$13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<sst xmlns="http://schemas.openxmlformats.org/spreadsheetml/2006/main" count="2031" uniqueCount="1641">
  <si>
    <t xml:space="preserve">BD e-Return calculator</t>
  </si>
  <si>
    <t xml:space="preserve">Fill in the peach cells (blue text). Everything else is calculated. The workbook opens with the sample return's figures as an example: replace them with your taxpayer's.</t>
  </si>
  <si>
    <t xml:space="preserve">To print the return: click the tab "P01 Acknowledgement", hold Shift, click "P12 Tax free income", then press Ctrl+P (or File &gt; Save as PDF with "Selected sheets"). The 12 pages print in order.</t>
  </si>
  <si>
    <t xml:space="preserve">Results</t>
  </si>
  <si>
    <t xml:space="preserve">Live from the Calc sheet.</t>
  </si>
  <si>
    <t xml:space="preserve">Total income (return line 11)</t>
  </si>
  <si>
    <t xml:space="preserve">Tax-exempt income (line 26)</t>
  </si>
  <si>
    <t xml:space="preserve">Tax-free limit used</t>
  </si>
  <si>
    <t xml:space="preserve">Tax on slabs (line 12)</t>
  </si>
  <si>
    <t xml:space="preserve">Rebate on investment (line 13)</t>
  </si>
  <si>
    <t xml:space="preserve">Minimum tax (line 15)</t>
  </si>
  <si>
    <t xml:space="preserve">Tax payable (line 16)</t>
  </si>
  <si>
    <t xml:space="preserve">Surcharge, delay interest, final tax (lines 17-18)</t>
  </si>
  <si>
    <t xml:space="preserve">Total amount payable (line 19)</t>
  </si>
  <si>
    <t xml:space="preserve">Already paid and adjusted (lines 20-22)</t>
  </si>
  <si>
    <t xml:space="preserve">Pay with the return (line 23)</t>
  </si>
  <si>
    <t xml:space="preserve">Deficit or (excess) (line 25)</t>
  </si>
  <si>
    <t xml:space="preserve">Net wealth (IT-10B line 5)</t>
  </si>
  <si>
    <t xml:space="preserve">Balancing figure</t>
  </si>
  <si>
    <t xml:space="preserve">Checks</t>
  </si>
  <si>
    <t xml:space="preserve">Messages appear here when something needs attention.</t>
  </si>
  <si>
    <t xml:space="preserve">Return settings</t>
  </si>
  <si>
    <t xml:space="preserve">Assessment year</t>
  </si>
  <si>
    <t xml:space="preserve">2026-2027</t>
  </si>
  <si>
    <t xml:space="preserve">The income year ends on 30 June of the first year.</t>
  </si>
  <si>
    <t xml:space="preserve">Tax rules</t>
  </si>
  <si>
    <t xml:space="preserve">sample-template</t>
  </si>
  <si>
    <t xml:space="preserve">ay2026-27 = AY 2026-27 as reported for the Finance Act 2026; sample-template = the sample's older slabs; fo2025 = Finance Ordinance 2025. See the Rules sheet.</t>
  </si>
  <si>
    <t xml:space="preserve">Taxpayer</t>
  </si>
  <si>
    <t xml:space="preserve">Printed on the return's first page and on every schedule.</t>
  </si>
  <si>
    <t xml:space="preserve">Name of the assessee</t>
  </si>
  <si>
    <t xml:space="preserve">Sample Taxpayer</t>
  </si>
  <si>
    <t xml:space="preserve">TIN (12 digits)</t>
  </si>
  <si>
    <t xml:space="preserve">111122223333</t>
  </si>
  <si>
    <t xml:space="preserve">NID or passport number</t>
  </si>
  <si>
    <t xml:space="preserve">1234567890</t>
  </si>
  <si>
    <t xml:space="preserve">Circle</t>
  </si>
  <si>
    <t xml:space="preserve">000</t>
  </si>
  <si>
    <t xml:space="preserve">Tax zone</t>
  </si>
  <si>
    <t xml:space="preserve">Cumilla</t>
  </si>
  <si>
    <t xml:space="preserve">Resident in Bangladesh</t>
  </si>
  <si>
    <t xml:space="preserve">Yes</t>
  </si>
  <si>
    <t xml:space="preserve">Gender</t>
  </si>
  <si>
    <t xml:space="preserve">Female</t>
  </si>
  <si>
    <t xml:space="preserve">Women get the higher tax-free limit.</t>
  </si>
  <si>
    <t xml:space="preserve">Date of birth</t>
  </si>
  <si>
    <t xml:space="preserve">Aged 65 or more on 30 June gets the higher limit.</t>
  </si>
  <si>
    <t xml:space="preserve">Person with disability</t>
  </si>
  <si>
    <t xml:space="preserve">No</t>
  </si>
  <si>
    <t xml:space="preserve">Gazetted war-wounded freedom fighter</t>
  </si>
  <si>
    <t xml:space="preserve">July Joddha</t>
  </si>
  <si>
    <t xml:space="preserve">Parent or guardian of a person with disability</t>
  </si>
  <si>
    <t xml:space="preserve">Adds Tk 50,000 to the tax-free limit.</t>
  </si>
  <si>
    <t xml:space="preserve">Tick the special-benefit boxes on page 1</t>
  </si>
  <si>
    <t xml:space="preserve">Yes ticks the boxes for the categories above (the sample left them blank).</t>
  </si>
  <si>
    <t xml:space="preserve">First return</t>
  </si>
  <si>
    <t xml:space="preserve">Yes: no IT-10B last year; the wealth statement balances on 'Receipt of gift and others'.</t>
  </si>
  <si>
    <t xml:space="preserve">Father's or husband's name</t>
  </si>
  <si>
    <t xml:space="preserve">Father Name</t>
  </si>
  <si>
    <t xml:space="preserve">That name is the</t>
  </si>
  <si>
    <t xml:space="preserve">Father</t>
  </si>
  <si>
    <t xml:space="preserve">Spouse's name</t>
  </si>
  <si>
    <t xml:space="preserve">Spouse's TIN</t>
  </si>
  <si>
    <t xml:space="preserve">Address</t>
  </si>
  <si>
    <t xml:space="preserve">Village A, Upazila B, District C</t>
  </si>
  <si>
    <t xml:space="preserve">Telephone</t>
  </si>
  <si>
    <t xml:space="preserve">Mobile</t>
  </si>
  <si>
    <t xml:space="preserve">Email</t>
  </si>
  <si>
    <t xml:space="preserve">Employer</t>
  </si>
  <si>
    <t xml:space="preserve">Upazila Health Complex</t>
  </si>
  <si>
    <t xml:space="preserve">Name of organisation (business)</t>
  </si>
  <si>
    <t xml:space="preserve">Business identification number (BIN)</t>
  </si>
  <si>
    <t xml:space="preserve">Partners and their TINs (firm or AOP)</t>
  </si>
  <si>
    <t xml:space="preserve">Salary (Schedule 1)</t>
  </si>
  <si>
    <t xml:space="preserve">Government pay scale: only the items marked taxable on the Rules sheet are taxed.</t>
  </si>
  <si>
    <t xml:space="preserve">Government pay scale</t>
  </si>
  <si>
    <t xml:space="preserve">Basic pay</t>
  </si>
  <si>
    <t xml:space="preserve">Arrear pay</t>
  </si>
  <si>
    <t xml:space="preserve">Special allowance</t>
  </si>
  <si>
    <t xml:space="preserve">House rent allowance</t>
  </si>
  <si>
    <t xml:space="preserve">Medical allowance</t>
  </si>
  <si>
    <t xml:space="preserve">Conveyance allowance</t>
  </si>
  <si>
    <t xml:space="preserve">Festival allowance</t>
  </si>
  <si>
    <t xml:space="preserve">Allowance for support staff</t>
  </si>
  <si>
    <t xml:space="preserve">Leave allowance</t>
  </si>
  <si>
    <t xml:space="preserve">Honorarium, reward, fee</t>
  </si>
  <si>
    <t xml:space="preserve">Overtime allowance</t>
  </si>
  <si>
    <t xml:space="preserve">Baishakhi allowance</t>
  </si>
  <si>
    <t xml:space="preserve">Interest accrued on provident fund</t>
  </si>
  <si>
    <t xml:space="preserve">Lamp grant</t>
  </si>
  <si>
    <t xml:space="preserve">Gratuity</t>
  </si>
  <si>
    <t xml:space="preserve">Others</t>
  </si>
  <si>
    <t xml:space="preserve">Private sector and others</t>
  </si>
  <si>
    <t xml:space="preserve">Exempt: one third of the total or the cap on the Rules sheet, whichever is lower.</t>
  </si>
  <si>
    <t xml:space="preserve">Allowances</t>
  </si>
  <si>
    <t xml:space="preserve">Advance salary</t>
  </si>
  <si>
    <t xml:space="preserve">Gratuity, annuity, pension</t>
  </si>
  <si>
    <t xml:space="preserve">Perquisites</t>
  </si>
  <si>
    <t xml:space="preserve">In lieu of or in addition to salary</t>
  </si>
  <si>
    <t xml:space="preserve">Employees' share scheme</t>
  </si>
  <si>
    <t xml:space="preserve">Accommodation benefit</t>
  </si>
  <si>
    <t xml:space="preserve">Car benefit</t>
  </si>
  <si>
    <t xml:space="preserve">Other benefits from employer</t>
  </si>
  <si>
    <t xml:space="preserve">Employer's contribution to recognised PF</t>
  </si>
  <si>
    <t xml:space="preserve">House property (Schedule 2)</t>
  </si>
  <si>
    <t xml:space="preserve">Up to three properties; they are added together on Schedule 2.</t>
  </si>
  <si>
    <t xml:space="preserve">Property 1</t>
  </si>
  <si>
    <t xml:space="preserve">Property 2</t>
  </si>
  <si>
    <t xml:space="preserve">Property 3</t>
  </si>
  <si>
    <t xml:space="preserve">Location and description</t>
  </si>
  <si>
    <t xml:space="preserve">Use</t>
  </si>
  <si>
    <t xml:space="preserve">Residential</t>
  </si>
  <si>
    <t xml:space="preserve">Residential: 25% repair allowance; commercial: 30%.</t>
  </si>
  <si>
    <t xml:space="preserve">Rent received or annual value, whichever is higher</t>
  </si>
  <si>
    <t xml:space="preserve">Advance rent received</t>
  </si>
  <si>
    <t xml:space="preserve">Value of other benefits</t>
  </si>
  <si>
    <t xml:space="preserve">Adjusted advance rent</t>
  </si>
  <si>
    <t xml:space="preserve">Vacancy allowance</t>
  </si>
  <si>
    <t xml:space="preserve">Municipal or local tax</t>
  </si>
  <si>
    <t xml:space="preserve">Land revenue</t>
  </si>
  <si>
    <t xml:space="preserve">Interest on loan or mortgage</t>
  </si>
  <si>
    <t xml:space="preserve">Insurance premium</t>
  </si>
  <si>
    <t xml:space="preserve">Other deductions</t>
  </si>
  <si>
    <t xml:space="preserve">Your share (%), blank if you own all of it</t>
  </si>
  <si>
    <t xml:space="preserve">Agriculture (Schedule 3)</t>
  </si>
  <si>
    <t xml:space="preserve">Nature of agriculture</t>
  </si>
  <si>
    <t xml:space="preserve">Sale, turnover, receipts</t>
  </si>
  <si>
    <t xml:space="preserve">Gross profit</t>
  </si>
  <si>
    <t xml:space="preserve">Expenses, land revenue, interest, insurance</t>
  </si>
  <si>
    <t xml:space="preserve">Business or profession (Schedule 4)</t>
  </si>
  <si>
    <t xml:space="preserve">Name of business or profession</t>
  </si>
  <si>
    <t xml:space="preserve">Nature of business</t>
  </si>
  <si>
    <t xml:space="preserve">General, administrative, selling expenses</t>
  </si>
  <si>
    <t xml:space="preserve">Bad debt</t>
  </si>
  <si>
    <t xml:space="preserve">Balance sheet at 30 June (leave all blank if none)</t>
  </si>
  <si>
    <t xml:space="preserve">Cash and bank</t>
  </si>
  <si>
    <t xml:space="preserve">Inventory</t>
  </si>
  <si>
    <t xml:space="preserve">Fixed assets</t>
  </si>
  <si>
    <t xml:space="preserve">Other assets</t>
  </si>
  <si>
    <t xml:space="preserve">Opening capital</t>
  </si>
  <si>
    <t xml:space="preserve">Drawings during the year</t>
  </si>
  <si>
    <t xml:space="preserve">Liabilities</t>
  </si>
  <si>
    <t xml:space="preserve">Other income (return lines 5-10)</t>
  </si>
  <si>
    <t xml:space="preserve">Capital gains</t>
  </si>
  <si>
    <t xml:space="preserve">Bank interest, dividend, securities</t>
  </si>
  <si>
    <t xml:space="preserve">Savings certificate (sanchayapatra) interest</t>
  </si>
  <si>
    <t xml:space="preserve">Taxed finally at source: enter its AIT under tax paid.</t>
  </si>
  <si>
    <t xml:space="preserve">Other sources (royalty, honorarium, fees)</t>
  </si>
  <si>
    <t xml:space="preserve">Share of income from firm or AOP</t>
  </si>
  <si>
    <t xml:space="preserve">Income of minor or spouse</t>
  </si>
  <si>
    <t xml:space="preserve">Foreign income</t>
  </si>
  <si>
    <t xml:space="preserve">Tax-free income (return line 26)</t>
  </si>
  <si>
    <t xml:space="preserve">The salary exemption is added automatically to row 01.</t>
  </si>
  <si>
    <t xml:space="preserve">Other salary exemption (row 01)</t>
  </si>
  <si>
    <t xml:space="preserve">Government provident fund (up to Tk 2.5 crore)</t>
  </si>
  <si>
    <t xml:space="preserve">Income already taxed, distributed to beneficiaries</t>
  </si>
  <si>
    <t xml:space="preserve">Income of a provident fund (Act 1925)</t>
  </si>
  <si>
    <t xml:space="preserve">Voluntary retirement scheme</t>
  </si>
  <si>
    <t xml:space="preserve">Pensioners' savings certificate (up to Tk 5 lakh)</t>
  </si>
  <si>
    <t xml:space="preserve">Share of firm income taxed in the firm</t>
  </si>
  <si>
    <t xml:space="preserve">Share from a Hindu undivided family</t>
  </si>
  <si>
    <t xml:space="preserve">Foreign remittance</t>
  </si>
  <si>
    <t xml:space="preserve">Wage earners' development fund</t>
  </si>
  <si>
    <t xml:space="preserve">Income from Bandarban, Khagrachari, Rangamati</t>
  </si>
  <si>
    <t xml:space="preserve">Agricultural income (exempt part)</t>
  </si>
  <si>
    <t xml:space="preserve">Software and IT business</t>
  </si>
  <si>
    <t xml:space="preserve">Export of handicrafts</t>
  </si>
  <si>
    <t xml:space="preserve">Small and medium industries</t>
  </si>
  <si>
    <t xml:space="preserve">Zero coupon bonds</t>
  </si>
  <si>
    <t xml:space="preserve">Government pension</t>
  </si>
  <si>
    <t xml:space="preserve">Welfare allowance, Muktijoddha Kallyan Trust</t>
  </si>
  <si>
    <t xml:space="preserve">Award money from the Government</t>
  </si>
  <si>
    <t xml:space="preserve">Management of a briddhashram</t>
  </si>
  <si>
    <t xml:space="preserve">Bangladeshi-flagged ship bringing foreign currency</t>
  </si>
  <si>
    <t xml:space="preserve">Other 6th Schedule exemption</t>
  </si>
  <si>
    <t xml:space="preserve">Investments for the rebate (Schedule 5)</t>
  </si>
  <si>
    <t xml:space="preserve">Enter allowable amounts (for example DPS within its limit).</t>
  </si>
  <si>
    <t xml:space="preserve">Life insurance premium</t>
  </si>
  <si>
    <t xml:space="preserve">Deposit pension scheme (DPS)</t>
  </si>
  <si>
    <t xml:space="preserve">Government securities, savings certificates, unit certificates</t>
  </si>
  <si>
    <t xml:space="preserve">Listed shares and securities</t>
  </si>
  <si>
    <t xml:space="preserve">Provident fund (Act 1925)</t>
  </si>
  <si>
    <t xml:space="preserve">Recognised provident fund (own + employer)</t>
  </si>
  <si>
    <t xml:space="preserve">Approved pension fund</t>
  </si>
  <si>
    <t xml:space="preserve">Benevolent fund and group insurance</t>
  </si>
  <si>
    <t xml:space="preserve">Zakat fund</t>
  </si>
  <si>
    <t xml:space="preserve">Tax paid (return lines 20-23)</t>
  </si>
  <si>
    <t xml:space="preserve">Tax deducted from salary</t>
  </si>
  <si>
    <t xml:space="preserve">AIT on savings certificates</t>
  </si>
  <si>
    <t xml:space="preserve">AIT on bank interest</t>
  </si>
  <si>
    <t xml:space="preserve">AIT on WPPF</t>
  </si>
  <si>
    <t xml:space="preserve">AIT with car tax token</t>
  </si>
  <si>
    <t xml:space="preserve">Advance tax by treasury challan</t>
  </si>
  <si>
    <t xml:space="preserve">Refund adjusted from earlier years</t>
  </si>
  <si>
    <t xml:space="preserve">Assessment years of that refund</t>
  </si>
  <si>
    <t xml:space="preserve">Paid with the return (A-challan)</t>
  </si>
  <si>
    <t xml:space="preserve">Leave blank to assume the balance due is paid with the return.</t>
  </si>
  <si>
    <t xml:space="preserve">A-challan number</t>
  </si>
  <si>
    <t xml:space="preserve">Other charges and overrides</t>
  </si>
  <si>
    <t xml:space="preserve">Owns more than one car, or a house over 8,000 sft in a city corporation</t>
  </si>
  <si>
    <t xml:space="preserve">Yes charges the 10% surcharge even below Tk 4 crore.</t>
  </si>
  <si>
    <t xml:space="preserve">Environmental surcharge (cars)</t>
  </si>
  <si>
    <t xml:space="preserve">Delay interest or penalty</t>
  </si>
  <si>
    <t xml:space="preserve">Minimum tax u/s 163(2)(kha)</t>
  </si>
  <si>
    <t xml:space="preserve">Minimum tax u/s 163(5)(ka)</t>
  </si>
  <si>
    <t xml:space="preserve">Rebate allowed</t>
  </si>
  <si>
    <t xml:space="preserve">Minimum tax override</t>
  </si>
  <si>
    <t xml:space="preserve">Leave blank to use the Rules sheet.</t>
  </si>
  <si>
    <t xml:space="preserve">Net wealth surcharge override</t>
  </si>
  <si>
    <t xml:space="preserve">Leave blank to calculate.</t>
  </si>
  <si>
    <t xml:space="preserve">Final tax on savings certificates override</t>
  </si>
  <si>
    <t xml:space="preserve">Leave blank to use the AIT on savings certificates.</t>
  </si>
  <si>
    <t xml:space="preserve">Living expenses (IT-10BB)</t>
  </si>
  <si>
    <t xml:space="preserve">The note column prints in the Comments column of IT-10BB.</t>
  </si>
  <si>
    <t xml:space="preserve">Amount</t>
  </si>
  <si>
    <t xml:space="preserve">Note</t>
  </si>
  <si>
    <t xml:space="preserve">Food, clothing and essentials</t>
  </si>
  <si>
    <t xml:space="preserve">Housing</t>
  </si>
  <si>
    <t xml:space="preserve">Family House</t>
  </si>
  <si>
    <t xml:space="preserve">Personal transport</t>
  </si>
  <si>
    <t xml:space="preserve">Electricity, gas, water, phone, internet</t>
  </si>
  <si>
    <t xml:space="preserve">Education</t>
  </si>
  <si>
    <t xml:space="preserve">Travel and holidays</t>
  </si>
  <si>
    <t xml:space="preserve">Festivals and special occasions</t>
  </si>
  <si>
    <t xml:space="preserve">Tax paid (blank = this return's tax paid)</t>
  </si>
  <si>
    <t xml:space="preserve">Interest on personal loans</t>
  </si>
  <si>
    <t xml:space="preserve">Assets and liabilities (IT-10B)</t>
  </si>
  <si>
    <t xml:space="preserve">Net wealth on last year's IT-10B</t>
  </si>
  <si>
    <t xml:space="preserve">Leave blank on a first return.</t>
  </si>
  <si>
    <t xml:space="preserve">Balance the statement with</t>
  </si>
  <si>
    <t xml:space="preserve">Gift and other receipts</t>
  </si>
  <si>
    <t xml:space="preserve">Automatic: gift on a first return, otherwise cash and bank.</t>
  </si>
  <si>
    <t xml:space="preserve">Receipt of gift and others</t>
  </si>
  <si>
    <t xml:space="preserve">Used unless it is the balancing figure.</t>
  </si>
  <si>
    <t xml:space="preserve">Label after 'Receipt of gift and others'</t>
  </si>
  <si>
    <t xml:space="preserve">Blank prints (First Return) on a first return.</t>
  </si>
  <si>
    <t xml:space="preserve">Gifts given, losses, expenses not in IT-10BB</t>
  </si>
  <si>
    <t xml:space="preserve">Bank and institutional loans</t>
  </si>
  <si>
    <t xml:space="preserve">Non-institutional loans</t>
  </si>
  <si>
    <t xml:space="preserve">Other liabilities</t>
  </si>
  <si>
    <t xml:space="preserve">Non-agricultural property (up to 4)</t>
  </si>
  <si>
    <t xml:space="preserve">Description, location and size</t>
  </si>
  <si>
    <t xml:space="preserve">Cost value</t>
  </si>
  <si>
    <t xml:space="preserve">10 decimal land, Village A, Upazila B, District C</t>
  </si>
  <si>
    <t xml:space="preserve">Property 4</t>
  </si>
  <si>
    <t xml:space="preserve">Agricultural land (up to 2)</t>
  </si>
  <si>
    <t xml:space="preserve">Land 1</t>
  </si>
  <si>
    <t xml:space="preserve">Land 2</t>
  </si>
  <si>
    <t xml:space="preserve">Financial assets</t>
  </si>
  <si>
    <t xml:space="preserve">Debentures, bonds, shares, unit certificates</t>
  </si>
  <si>
    <t xml:space="preserve">Savings certificates and DPS</t>
  </si>
  <si>
    <t xml:space="preserve">Life insurance (premiums paid)</t>
  </si>
  <si>
    <t xml:space="preserve">Loans given</t>
  </si>
  <si>
    <t xml:space="preserve">Fixed deposits</t>
  </si>
  <si>
    <t xml:space="preserve">Provident fund and other funds</t>
  </si>
  <si>
    <t xml:space="preserve">Other investments</t>
  </si>
  <si>
    <t xml:space="preserve">Business capital (only if Schedule 4 has no balance sheet)</t>
  </si>
  <si>
    <t xml:space="preserve">Business liabilities (same)</t>
  </si>
  <si>
    <t xml:space="preserve">Director's shareholdings in limited companies</t>
  </si>
  <si>
    <t xml:space="preserve">Motor car (cost)</t>
  </si>
  <si>
    <t xml:space="preserve">Car type and registration number</t>
  </si>
  <si>
    <t xml:space="preserve">Ornaments (value)</t>
  </si>
  <si>
    <t xml:space="preserve">Ornaments quantity</t>
  </si>
  <si>
    <t xml:space="preserve">25 Bhori</t>
  </si>
  <si>
    <t xml:space="preserve">For example: 25 Bhori</t>
  </si>
  <si>
    <t xml:space="preserve">Ornaments type</t>
  </si>
  <si>
    <t xml:space="preserve">(Gold)</t>
  </si>
  <si>
    <t xml:space="preserve">Ornaments note</t>
  </si>
  <si>
    <t xml:space="preserve">(Wedding Gifts)</t>
  </si>
  <si>
    <t xml:space="preserve">For example: (Wedding Gifts)</t>
  </si>
  <si>
    <t xml:space="preserve">Furniture and electronics</t>
  </si>
  <si>
    <t xml:space="preserve">Furniture note</t>
  </si>
  <si>
    <t xml:space="preserve">Cash, bank and funds outside business</t>
  </si>
  <si>
    <t xml:space="preserve">Calculated instead when cash and bank is the balancing figure.</t>
  </si>
  <si>
    <t xml:space="preserve">Signing and documents</t>
  </si>
  <si>
    <t xml:space="preserve">Place</t>
  </si>
  <si>
    <t xml:space="preserve">Date</t>
  </si>
  <si>
    <t xml:space="preserve">Document 01</t>
  </si>
  <si>
    <t xml:space="preserve">Tax Calculation</t>
  </si>
  <si>
    <t xml:space="preserve">Document 02</t>
  </si>
  <si>
    <t xml:space="preserve">Tax Free Income/ Exempted</t>
  </si>
  <si>
    <t xml:space="preserve">Document 03</t>
  </si>
  <si>
    <t xml:space="preserve">Related Supporting Documents</t>
  </si>
  <si>
    <t xml:space="preserve">Document 04</t>
  </si>
  <si>
    <t xml:space="preserve">Document 05</t>
  </si>
  <si>
    <t xml:space="preserve">Document 06</t>
  </si>
  <si>
    <t xml:space="preserve">Document 07</t>
  </si>
  <si>
    <t xml:space="preserve">Edit the blue figures if the official Finance Act differs. Column G follows the 'Tax rules' choice on the Input sheet. AY 2026-27 figures come from news reports of the Finance Act 2026, not the gazette.</t>
  </si>
  <si>
    <t xml:space="preserve">Parameter</t>
  </si>
  <si>
    <t xml:space="preserve">Meaning</t>
  </si>
  <si>
    <t xml:space="preserve">ay2026-27</t>
  </si>
  <si>
    <t xml:space="preserve">fo2025</t>
  </si>
  <si>
    <t xml:space="preserve">In use</t>
  </si>
  <si>
    <t xml:space="preserve">thr_general</t>
  </si>
  <si>
    <t xml:space="preserve">Tax-free limit: general</t>
  </si>
  <si>
    <t xml:space="preserve">thr_female</t>
  </si>
  <si>
    <t xml:space="preserve">Tax-free limit: women</t>
  </si>
  <si>
    <t xml:space="preserve">thr_senior</t>
  </si>
  <si>
    <t xml:space="preserve">Tax-free limit: aged 65 or more</t>
  </si>
  <si>
    <t xml:space="preserve">thr_disabled</t>
  </si>
  <si>
    <t xml:space="preserve">Tax-free limit: persons with disability</t>
  </si>
  <si>
    <t xml:space="preserve">thr_third_gender</t>
  </si>
  <si>
    <t xml:space="preserve">Tax-free limit: third gender</t>
  </si>
  <si>
    <t xml:space="preserve">thr_war_wounded_freedom_fighter</t>
  </si>
  <si>
    <t xml:space="preserve">Tax-free limit: gazetted war-wounded freedom fighter</t>
  </si>
  <si>
    <t xml:space="preserve">thr_july_joddha</t>
  </si>
  <si>
    <t xml:space="preserve">Tax-free limit: July Joddha</t>
  </si>
  <si>
    <t xml:space="preserve">thr_parent_of_disabled_addition</t>
  </si>
  <si>
    <t xml:space="preserve">Added for a parent or guardian of a person with disability</t>
  </si>
  <si>
    <t xml:space="preserve">w1</t>
  </si>
  <si>
    <t xml:space="preserve">Slab 2 width (after the tax-free limit)</t>
  </si>
  <si>
    <t xml:space="preserve">r1</t>
  </si>
  <si>
    <t xml:space="preserve">Slab 2 rate</t>
  </si>
  <si>
    <t xml:space="preserve">w2</t>
  </si>
  <si>
    <t xml:space="preserve">Slab 3 width (after the tax-free limit)</t>
  </si>
  <si>
    <t xml:space="preserve">r2</t>
  </si>
  <si>
    <t xml:space="preserve">Slab 3 rate</t>
  </si>
  <si>
    <t xml:space="preserve">w3</t>
  </si>
  <si>
    <t xml:space="preserve">Slab 4 width (after the tax-free limit)</t>
  </si>
  <si>
    <t xml:space="preserve">r3</t>
  </si>
  <si>
    <t xml:space="preserve">Slab 4 rate</t>
  </si>
  <si>
    <t xml:space="preserve">w4</t>
  </si>
  <si>
    <t xml:space="preserve">Slab 5 width (after the tax-free limit)</t>
  </si>
  <si>
    <t xml:space="preserve">r4</t>
  </si>
  <si>
    <t xml:space="preserve">Slab 5 rate</t>
  </si>
  <si>
    <t xml:space="preserve">r5</t>
  </si>
  <si>
    <t xml:space="preserve">Slab 6 rate (rest of the income)</t>
  </si>
  <si>
    <t xml:space="preserve">min_tax</t>
  </si>
  <si>
    <t xml:space="preserve">Minimum tax</t>
  </si>
  <si>
    <t xml:space="preserve">min_tax_first</t>
  </si>
  <si>
    <t xml:space="preserve">Minimum tax on a first return</t>
  </si>
  <si>
    <t xml:space="preserve">rebate_income_rate</t>
  </si>
  <si>
    <t xml:space="preserve">Rebate limit: share of taxable income</t>
  </si>
  <si>
    <t xml:space="preserve">rebate_invest_rate</t>
  </si>
  <si>
    <t xml:space="preserve">Rebate limit: share of eligible investment</t>
  </si>
  <si>
    <t xml:space="preserve">rebate_cap</t>
  </si>
  <si>
    <t xml:space="preserve">Rebate limit: maximum</t>
  </si>
  <si>
    <t xml:space="preserve">priv_fraction</t>
  </si>
  <si>
    <t xml:space="preserve">Private salary exemption: share of salary</t>
  </si>
  <si>
    <t xml:space="preserve">priv_cap</t>
  </si>
  <si>
    <t xml:space="preserve">Private salary exemption: maximum</t>
  </si>
  <si>
    <t xml:space="preserve">repair_res</t>
  </si>
  <si>
    <t xml:space="preserve">Repair allowance: residential property</t>
  </si>
  <si>
    <t xml:space="preserve">repair_com</t>
  </si>
  <si>
    <t xml:space="preserve">Repair allowance: commercial property</t>
  </si>
  <si>
    <t xml:space="preserve">sur_up1</t>
  </si>
  <si>
    <t xml:space="preserve">Surcharge band 1: net wealth up to</t>
  </si>
  <si>
    <t xml:space="preserve">sur_up2</t>
  </si>
  <si>
    <t xml:space="preserve">Surcharge band 2: net wealth up to</t>
  </si>
  <si>
    <t xml:space="preserve">sur_up3</t>
  </si>
  <si>
    <t xml:space="preserve">Surcharge band 3: net wealth up to</t>
  </si>
  <si>
    <t xml:space="preserve">sur_up4</t>
  </si>
  <si>
    <t xml:space="preserve">Surcharge band 4: net wealth up to</t>
  </si>
  <si>
    <t xml:space="preserve">sur_rate1</t>
  </si>
  <si>
    <t xml:space="preserve">Surcharge band 1: rate</t>
  </si>
  <si>
    <t xml:space="preserve">sur_rate2</t>
  </si>
  <si>
    <t xml:space="preserve">Surcharge band 2: rate</t>
  </si>
  <si>
    <t xml:space="preserve">sur_rate3</t>
  </si>
  <si>
    <t xml:space="preserve">Surcharge band 3: rate</t>
  </si>
  <si>
    <t xml:space="preserve">sur_rate4</t>
  </si>
  <si>
    <t xml:space="preserve">Surcharge band 4: rate</t>
  </si>
  <si>
    <t xml:space="preserve">sur_rate5</t>
  </si>
  <si>
    <t xml:space="preserve">Surcharge band 5: rate (above the last limit)</t>
  </si>
  <si>
    <t xml:space="preserve">sur_base</t>
  </si>
  <si>
    <t xml:space="preserve">Surcharge on: 1 = tax after rebate, 0 = tax payable incl. minimum tax</t>
  </si>
  <si>
    <t xml:space="preserve">sur_trigger</t>
  </si>
  <si>
    <t xml:space="preserve">Surcharge when more than one car or a large city house</t>
  </si>
  <si>
    <t xml:space="preserve">gt_basic_pay</t>
  </si>
  <si>
    <t xml:space="preserve">Government pay scale: Basic pay taxable (1 = yes)</t>
  </si>
  <si>
    <t xml:space="preserve">gt_arrear_pay</t>
  </si>
  <si>
    <t xml:space="preserve">Government pay scale: Arrear pay taxable (1 = yes)</t>
  </si>
  <si>
    <t xml:space="preserve">gt_special_allowance</t>
  </si>
  <si>
    <t xml:space="preserve">Government pay scale: Special allowance taxable (1 = yes)</t>
  </si>
  <si>
    <t xml:space="preserve">gt_house_rent_allowance</t>
  </si>
  <si>
    <t xml:space="preserve">Government pay scale: House rent allowance taxable (1 = yes)</t>
  </si>
  <si>
    <t xml:space="preserve">gt_medical_allowance</t>
  </si>
  <si>
    <t xml:space="preserve">Government pay scale: Medical allowance taxable (1 = yes)</t>
  </si>
  <si>
    <t xml:space="preserve">gt_conveyance_allowance</t>
  </si>
  <si>
    <t xml:space="preserve">Government pay scale: Conveyance allowance taxable (1 = yes)</t>
  </si>
  <si>
    <t xml:space="preserve">gt_festival_allowance</t>
  </si>
  <si>
    <t xml:space="preserve">Government pay scale: Festival allowance taxable (1 = yes)</t>
  </si>
  <si>
    <t xml:space="preserve">gt_support_staff_allowance</t>
  </si>
  <si>
    <t xml:space="preserve">Government pay scale: Allowance for support staff taxable (1 = yes)</t>
  </si>
  <si>
    <t xml:space="preserve">gt_leave_allowance</t>
  </si>
  <si>
    <t xml:space="preserve">Government pay scale: Leave allowance taxable (1 = yes)</t>
  </si>
  <si>
    <t xml:space="preserve">gt_honorarium</t>
  </si>
  <si>
    <t xml:space="preserve">Government pay scale: Honorarium, reward, fee taxable (1 = yes)</t>
  </si>
  <si>
    <t xml:space="preserve">gt_overtime_allowance</t>
  </si>
  <si>
    <t xml:space="preserve">Government pay scale: Overtime allowance taxable (1 = yes)</t>
  </si>
  <si>
    <t xml:space="preserve">gt_baishakhi_allowance</t>
  </si>
  <si>
    <t xml:space="preserve">Government pay scale: Baishakhi allowance taxable (1 = yes)</t>
  </si>
  <si>
    <t xml:space="preserve">gt_pf_interest</t>
  </si>
  <si>
    <t xml:space="preserve">Government pay scale: Interest accrued on provident fund taxable (1 = yes)</t>
  </si>
  <si>
    <t xml:space="preserve">gt_lamp_grant</t>
  </si>
  <si>
    <t xml:space="preserve">Government pay scale: Lamp grant taxable (1 = yes)</t>
  </si>
  <si>
    <t xml:space="preserve">gt_gratuity</t>
  </si>
  <si>
    <t xml:space="preserve">Government pay scale: Gratuity taxable (1 = yes)</t>
  </si>
  <si>
    <t xml:space="preserve">gt_others</t>
  </si>
  <si>
    <t xml:space="preserve">Government pay scale: Others taxable (1 = yes)</t>
  </si>
  <si>
    <t xml:space="preserve">notes</t>
  </si>
  <si>
    <t xml:space="preserve">Caution shown on the Input sheet</t>
  </si>
  <si>
    <t xml:space="preserve">Built from secondary reports of the Finance Act 2026 (passed 29 June 2026); the official gazette could not be checked. Confirm the thresholds and slabs before filing.</t>
  </si>
  <si>
    <t xml:space="preserve">This profile copies the sample template, which still uses the older slab table (5% band). Reports on AY 2026-27 say the 5% band was removed and thresholds were raised. Use it to reproduce the sample or when you have confirmed it is right for your case.</t>
  </si>
  <si>
    <t xml:space="preserve">Later reports say the Finance Act 2026 raised the thresholds by Tk 25,000 for AY 2026-27. Use this only if you confirm the ordinance figures apply.</t>
  </si>
  <si>
    <t xml:space="preserve">Sources</t>
  </si>
  <si>
    <t xml:space="preserve">The Daily Star, 29 June 2026: Finance bill passed, tax-free income threshold set at Tk 4 lakh for FY2026-27.</t>
  </si>
  <si>
    <t xml:space="preserve">bdnews24: New income tax slabs in effect from July, says NBR chief.</t>
  </si>
  <si>
    <t xml:space="preserve">The Financial Express: Minimum income tax Tk 5,000, Tk 1,000 for first-time taxpayers.</t>
  </si>
  <si>
    <t xml:space="preserve">The Daily Star: How Bangladesh's surcharge and wealth tax system works.</t>
  </si>
  <si>
    <t xml:space="preserve">Sample template: rules used by the sample return (older 5% slab, women Tk 4,00,000).</t>
  </si>
  <si>
    <t xml:space="preserve">Calculation</t>
  </si>
  <si>
    <t xml:space="preserve">Every figure of the return. Column D holds the formula; names v_... point to it.</t>
  </si>
  <si>
    <t xml:space="preserve">ay</t>
  </si>
  <si>
    <t xml:space="preserve">ay_start</t>
  </si>
  <si>
    <t xml:space="preserve">First year of the assessment year</t>
  </si>
  <si>
    <t xml:space="preserve">iy_end_mdy</t>
  </si>
  <si>
    <t xml:space="preserve">Income year end (m/d/yyyy)</t>
  </si>
  <si>
    <t xml:space="preserve">iy_end_dmy</t>
  </si>
  <si>
    <t xml:space="preserve">Income year end (d-Mon-yy)</t>
  </si>
  <si>
    <t xml:space="preserve">name</t>
  </si>
  <si>
    <t xml:space="preserve">Name</t>
  </si>
  <si>
    <t xml:space="preserve">name_line</t>
  </si>
  <si>
    <t xml:space="preserve">Name line</t>
  </si>
  <si>
    <t xml:space="preserve">tin</t>
  </si>
  <si>
    <t xml:space="preserve">TIN digits</t>
  </si>
  <si>
    <t xml:space="preserve">nid</t>
  </si>
  <si>
    <t xml:space="preserve">Nid</t>
  </si>
  <si>
    <t xml:space="preserve">circle</t>
  </si>
  <si>
    <t xml:space="preserve">zone</t>
  </si>
  <si>
    <t xml:space="preserve">Zone</t>
  </si>
  <si>
    <t xml:space="preserve">spouse_name</t>
  </si>
  <si>
    <t xml:space="preserve">Spouse name</t>
  </si>
  <si>
    <t xml:space="preserve">spouse_tin</t>
  </si>
  <si>
    <t xml:space="preserve">Spouse tin</t>
  </si>
  <si>
    <t xml:space="preserve">address</t>
  </si>
  <si>
    <t xml:space="preserve">telephone</t>
  </si>
  <si>
    <t xml:space="preserve">mobile</t>
  </si>
  <si>
    <t xml:space="preserve">email</t>
  </si>
  <si>
    <t xml:space="preserve">employer</t>
  </si>
  <si>
    <t xml:space="preserve">organization</t>
  </si>
  <si>
    <t xml:space="preserve">Organization</t>
  </si>
  <si>
    <t xml:space="preserve">bin</t>
  </si>
  <si>
    <t xml:space="preserve">Bin</t>
  </si>
  <si>
    <t xml:space="preserve">partners</t>
  </si>
  <si>
    <t xml:space="preserve">Partners</t>
  </si>
  <si>
    <t xml:space="preserve">father_or_husband</t>
  </si>
  <si>
    <t xml:space="preserve">Father or husband</t>
  </si>
  <si>
    <t xml:space="preserve">place</t>
  </si>
  <si>
    <t xml:space="preserve">resident</t>
  </si>
  <si>
    <t xml:space="preserve">Resident</t>
  </si>
  <si>
    <t xml:space="preserve">nonresident</t>
  </si>
  <si>
    <t xml:space="preserve">Non-resident</t>
  </si>
  <si>
    <t xml:space="preserve">dob_digits</t>
  </si>
  <si>
    <t xml:space="preserve">Date of birth as DDMMYYYY</t>
  </si>
  <si>
    <t xml:space="preserve">age</t>
  </si>
  <si>
    <t xml:space="preserve">Age on 30 June</t>
  </si>
  <si>
    <t xml:space="preserve">is_female</t>
  </si>
  <si>
    <t xml:space="preserve">Woman</t>
  </si>
  <si>
    <t xml:space="preserve">is_third</t>
  </si>
  <si>
    <t xml:space="preserve">Third gender</t>
  </si>
  <si>
    <t xml:space="preserve">is_senior</t>
  </si>
  <si>
    <t xml:space="preserve">Aged 65 or more</t>
  </si>
  <si>
    <t xml:space="preserve">is_disabled</t>
  </si>
  <si>
    <t xml:space="preserve">is_ff</t>
  </si>
  <si>
    <t xml:space="preserve">is_july</t>
  </si>
  <si>
    <t xml:space="preserve">is_parent</t>
  </si>
  <si>
    <t xml:space="preserve">Parent of a person with disability</t>
  </si>
  <si>
    <t xml:space="preserve">first_return</t>
  </si>
  <si>
    <t xml:space="preserve">threshold</t>
  </si>
  <si>
    <t xml:space="preserve">Tax-free limit (highest that applies)</t>
  </si>
  <si>
    <t xml:space="preserve">boxes_auto</t>
  </si>
  <si>
    <t xml:space="preserve">Tick special-benefit boxes</t>
  </si>
  <si>
    <t xml:space="preserve">box.ff</t>
  </si>
  <si>
    <t xml:space="preserve">Box: freedom fighter / July Joddha</t>
  </si>
  <si>
    <t xml:space="preserve">box.female</t>
  </si>
  <si>
    <t xml:space="preserve">Box: female</t>
  </si>
  <si>
    <t xml:space="preserve">box.third</t>
  </si>
  <si>
    <t xml:space="preserve">Box: third gender</t>
  </si>
  <si>
    <t xml:space="preserve">box.disabled</t>
  </si>
  <si>
    <t xml:space="preserve">Box: disabled</t>
  </si>
  <si>
    <t xml:space="preserve">box.65</t>
  </si>
  <si>
    <t xml:space="preserve">Box: aged 65 or more</t>
  </si>
  <si>
    <t xml:space="preserve">box.parent</t>
  </si>
  <si>
    <t xml:space="preserve">Box: parent of a person with disability</t>
  </si>
  <si>
    <t xml:space="preserve">relation</t>
  </si>
  <si>
    <t xml:space="preserve">date</t>
  </si>
  <si>
    <t xml:space="preserve">Date of signing</t>
  </si>
  <si>
    <t xml:space="preserve">doc1</t>
  </si>
  <si>
    <t xml:space="preserve">Document 1</t>
  </si>
  <si>
    <t xml:space="preserve">doc2</t>
  </si>
  <si>
    <t xml:space="preserve">Document 2</t>
  </si>
  <si>
    <t xml:space="preserve">doc3</t>
  </si>
  <si>
    <t xml:space="preserve">Document 3</t>
  </si>
  <si>
    <t xml:space="preserve">doc4</t>
  </si>
  <si>
    <t xml:space="preserve">Document 4</t>
  </si>
  <si>
    <t xml:space="preserve">doc5</t>
  </si>
  <si>
    <t xml:space="preserve">Document 5</t>
  </si>
  <si>
    <t xml:space="preserve">doc6</t>
  </si>
  <si>
    <t xml:space="preserve">Document 6</t>
  </si>
  <si>
    <t xml:space="preserve">doc7</t>
  </si>
  <si>
    <t xml:space="preserve">Document 7</t>
  </si>
  <si>
    <t xml:space="preserve">s1a.basic_pay.inc</t>
  </si>
  <si>
    <t xml:space="preserve">Govt pay scale: basic_pay income</t>
  </si>
  <si>
    <t xml:space="preserve">s1a.arrear_pay.inc</t>
  </si>
  <si>
    <t xml:space="preserve">Govt pay scale: arrear_pay income</t>
  </si>
  <si>
    <t xml:space="preserve">s1a.special_allowance.inc</t>
  </si>
  <si>
    <t xml:space="preserve">Govt pay scale: special_allowance income</t>
  </si>
  <si>
    <t xml:space="preserve">s1a.house_rent_allowance.inc</t>
  </si>
  <si>
    <t xml:space="preserve">Govt pay scale: house_rent_allowance income</t>
  </si>
  <si>
    <t xml:space="preserve">s1a.medical_allowance.inc</t>
  </si>
  <si>
    <t xml:space="preserve">Govt pay scale: medical_allowance income</t>
  </si>
  <si>
    <t xml:space="preserve">s1a.conveyance_allowance.inc</t>
  </si>
  <si>
    <t xml:space="preserve">Govt pay scale: conveyance_allowance income</t>
  </si>
  <si>
    <t xml:space="preserve">s1a.festival_allowance.inc</t>
  </si>
  <si>
    <t xml:space="preserve">Govt pay scale: festival_allowance income</t>
  </si>
  <si>
    <t xml:space="preserve">s1a.support_staff_allowance.inc</t>
  </si>
  <si>
    <t xml:space="preserve">Govt pay scale: support_staff_allowance income</t>
  </si>
  <si>
    <t xml:space="preserve">s1a.leave_allowance.inc</t>
  </si>
  <si>
    <t xml:space="preserve">Govt pay scale: leave_allowance income</t>
  </si>
  <si>
    <t xml:space="preserve">s1a.honorarium.inc</t>
  </si>
  <si>
    <t xml:space="preserve">Govt pay scale: honorarium income</t>
  </si>
  <si>
    <t xml:space="preserve">s1a.overtime_allowance.inc</t>
  </si>
  <si>
    <t xml:space="preserve">Govt pay scale: overtime_allowance income</t>
  </si>
  <si>
    <t xml:space="preserve">s1a.baishakhi_allowance.inc</t>
  </si>
  <si>
    <t xml:space="preserve">Govt pay scale: baishakhi_allowance income</t>
  </si>
  <si>
    <t xml:space="preserve">s1a.pf_interest.inc</t>
  </si>
  <si>
    <t xml:space="preserve">Govt pay scale: pf_interest income</t>
  </si>
  <si>
    <t xml:space="preserve">s1a.lamp_grant.inc</t>
  </si>
  <si>
    <t xml:space="preserve">Govt pay scale: lamp_grant income</t>
  </si>
  <si>
    <t xml:space="preserve">s1a.gratuity.inc</t>
  </si>
  <si>
    <t xml:space="preserve">Govt pay scale: gratuity income</t>
  </si>
  <si>
    <t xml:space="preserve">s1a.others.inc</t>
  </si>
  <si>
    <t xml:space="preserve">Govt pay scale: others income</t>
  </si>
  <si>
    <t xml:space="preserve">s1a.basic_pay.exm</t>
  </si>
  <si>
    <t xml:space="preserve">Govt pay scale: basic_pay exempt</t>
  </si>
  <si>
    <t xml:space="preserve">s1a.arrear_pay.exm</t>
  </si>
  <si>
    <t xml:space="preserve">Govt pay scale: arrear_pay exempt</t>
  </si>
  <si>
    <t xml:space="preserve">s1a.special_allowance.exm</t>
  </si>
  <si>
    <t xml:space="preserve">Govt pay scale: special_allowance exempt</t>
  </si>
  <si>
    <t xml:space="preserve">s1a.house_rent_allowance.exm</t>
  </si>
  <si>
    <t xml:space="preserve">Govt pay scale: house_rent_allowance exempt</t>
  </si>
  <si>
    <t xml:space="preserve">s1a.medical_allowance.exm</t>
  </si>
  <si>
    <t xml:space="preserve">Govt pay scale: medical_allowance exempt</t>
  </si>
  <si>
    <t xml:space="preserve">s1a.conveyance_allowance.exm</t>
  </si>
  <si>
    <t xml:space="preserve">Govt pay scale: conveyance_allowance exempt</t>
  </si>
  <si>
    <t xml:space="preserve">s1a.festival_allowance.exm</t>
  </si>
  <si>
    <t xml:space="preserve">Govt pay scale: festival_allowance exempt</t>
  </si>
  <si>
    <t xml:space="preserve">s1a.support_staff_allowance.exm</t>
  </si>
  <si>
    <t xml:space="preserve">Govt pay scale: support_staff_allowance exempt</t>
  </si>
  <si>
    <t xml:space="preserve">s1a.leave_allowance.exm</t>
  </si>
  <si>
    <t xml:space="preserve">Govt pay scale: leave_allowance exempt</t>
  </si>
  <si>
    <t xml:space="preserve">s1a.honorarium.exm</t>
  </si>
  <si>
    <t xml:space="preserve">Govt pay scale: honorarium exempt</t>
  </si>
  <si>
    <t xml:space="preserve">s1a.overtime_allowance.exm</t>
  </si>
  <si>
    <t xml:space="preserve">Govt pay scale: overtime_allowance exempt</t>
  </si>
  <si>
    <t xml:space="preserve">s1a.baishakhi_allowance.exm</t>
  </si>
  <si>
    <t xml:space="preserve">Govt pay scale: baishakhi_allowance exempt</t>
  </si>
  <si>
    <t xml:space="preserve">s1a.pf_interest.exm</t>
  </si>
  <si>
    <t xml:space="preserve">Govt pay scale: pf_interest exempt</t>
  </si>
  <si>
    <t xml:space="preserve">s1a.lamp_grant.exm</t>
  </si>
  <si>
    <t xml:space="preserve">Govt pay scale: lamp_grant exempt</t>
  </si>
  <si>
    <t xml:space="preserve">s1a.gratuity.exm</t>
  </si>
  <si>
    <t xml:space="preserve">Govt pay scale: gratuity exempt</t>
  </si>
  <si>
    <t xml:space="preserve">s1a.others.exm</t>
  </si>
  <si>
    <t xml:space="preserve">Govt pay scale: others exempt</t>
  </si>
  <si>
    <t xml:space="preserve">s1a.basic_pay.tax</t>
  </si>
  <si>
    <t xml:space="preserve">Govt pay scale: basic_pay taxable</t>
  </si>
  <si>
    <t xml:space="preserve">s1a.arrear_pay.tax</t>
  </si>
  <si>
    <t xml:space="preserve">Govt pay scale: arrear_pay taxable</t>
  </si>
  <si>
    <t xml:space="preserve">s1a.special_allowance.tax</t>
  </si>
  <si>
    <t xml:space="preserve">Govt pay scale: special_allowance taxable</t>
  </si>
  <si>
    <t xml:space="preserve">s1a.house_rent_allowance.tax</t>
  </si>
  <si>
    <t xml:space="preserve">Govt pay scale: house_rent_allowance taxable</t>
  </si>
  <si>
    <t xml:space="preserve">s1a.medical_allowance.tax</t>
  </si>
  <si>
    <t xml:space="preserve">Govt pay scale: medical_allowance taxable</t>
  </si>
  <si>
    <t xml:space="preserve">s1a.conveyance_allowance.tax</t>
  </si>
  <si>
    <t xml:space="preserve">Govt pay scale: conveyance_allowance taxable</t>
  </si>
  <si>
    <t xml:space="preserve">s1a.festival_allowance.tax</t>
  </si>
  <si>
    <t xml:space="preserve">Govt pay scale: festival_allowance taxable</t>
  </si>
  <si>
    <t xml:space="preserve">s1a.support_staff_allowance.tax</t>
  </si>
  <si>
    <t xml:space="preserve">Govt pay scale: support_staff_allowance taxable</t>
  </si>
  <si>
    <t xml:space="preserve">s1a.leave_allowance.tax</t>
  </si>
  <si>
    <t xml:space="preserve">Govt pay scale: leave_allowance taxable</t>
  </si>
  <si>
    <t xml:space="preserve">s1a.honorarium.tax</t>
  </si>
  <si>
    <t xml:space="preserve">Govt pay scale: honorarium taxable</t>
  </si>
  <si>
    <t xml:space="preserve">s1a.overtime_allowance.tax</t>
  </si>
  <si>
    <t xml:space="preserve">Govt pay scale: overtime_allowance taxable</t>
  </si>
  <si>
    <t xml:space="preserve">s1a.baishakhi_allowance.tax</t>
  </si>
  <si>
    <t xml:space="preserve">Govt pay scale: baishakhi_allowance taxable</t>
  </si>
  <si>
    <t xml:space="preserve">s1a.pf_interest.tax</t>
  </si>
  <si>
    <t xml:space="preserve">Govt pay scale: pf_interest taxable</t>
  </si>
  <si>
    <t xml:space="preserve">s1a.lamp_grant.tax</t>
  </si>
  <si>
    <t xml:space="preserve">Govt pay scale: lamp_grant taxable</t>
  </si>
  <si>
    <t xml:space="preserve">s1a.gratuity.tax</t>
  </si>
  <si>
    <t xml:space="preserve">Govt pay scale: gratuity taxable</t>
  </si>
  <si>
    <t xml:space="preserve">s1a.others.tax</t>
  </si>
  <si>
    <t xml:space="preserve">Govt pay scale: others taxable</t>
  </si>
  <si>
    <t xml:space="preserve">s1a.inc</t>
  </si>
  <si>
    <t xml:space="preserve">Govt pay scale: total income</t>
  </si>
  <si>
    <t xml:space="preserve">s1a.exm</t>
  </si>
  <si>
    <t xml:space="preserve">Govt pay scale: total exempt</t>
  </si>
  <si>
    <t xml:space="preserve">s1a.tax</t>
  </si>
  <si>
    <t xml:space="preserve">Govt pay scale: total taxable</t>
  </si>
  <si>
    <t xml:space="preserve">s1b.basic_pay</t>
  </si>
  <si>
    <t xml:space="preserve">Private salary: basic_pay</t>
  </si>
  <si>
    <t xml:space="preserve">s1b.allowances</t>
  </si>
  <si>
    <t xml:space="preserve">Private salary: allowances</t>
  </si>
  <si>
    <t xml:space="preserve">s1b.advance_salary</t>
  </si>
  <si>
    <t xml:space="preserve">Private salary: advance_salary</t>
  </si>
  <si>
    <t xml:space="preserve">s1b.gratuity_pension</t>
  </si>
  <si>
    <t xml:space="preserve">Private salary: gratuity_pension</t>
  </si>
  <si>
    <t xml:space="preserve">s1b.perquisites</t>
  </si>
  <si>
    <t xml:space="preserve">Private salary: perquisites</t>
  </si>
  <si>
    <t xml:space="preserve">s1b.in_lieu_of_salary</t>
  </si>
  <si>
    <t xml:space="preserve">Private salary: in_lieu_of_salary</t>
  </si>
  <si>
    <t xml:space="preserve">s1b.employee_share_scheme</t>
  </si>
  <si>
    <t xml:space="preserve">Private salary: employee_share_scheme</t>
  </si>
  <si>
    <t xml:space="preserve">s1b.accommodation</t>
  </si>
  <si>
    <t xml:space="preserve">Private salary: accommodation</t>
  </si>
  <si>
    <t xml:space="preserve">s1b.car_benefit</t>
  </si>
  <si>
    <t xml:space="preserve">Private salary: car_benefit</t>
  </si>
  <si>
    <t xml:space="preserve">s1b.other_benefits</t>
  </si>
  <si>
    <t xml:space="preserve">Private salary: other_benefits</t>
  </si>
  <si>
    <t xml:space="preserve">s1b.employer_pf_contribution</t>
  </si>
  <si>
    <t xml:space="preserve">Private salary: employer_pf_contribution</t>
  </si>
  <si>
    <t xml:space="preserve">s1b.others</t>
  </si>
  <si>
    <t xml:space="preserve">Private salary: others</t>
  </si>
  <si>
    <t xml:space="preserve">s1b.sub</t>
  </si>
  <si>
    <t xml:space="preserve">Private salary: total</t>
  </si>
  <si>
    <t xml:space="preserve">s1b.total</t>
  </si>
  <si>
    <t xml:space="preserve">Private salary: total (line 13)</t>
  </si>
  <si>
    <t xml:space="preserve">s1b.exempt</t>
  </si>
  <si>
    <t xml:space="preserve">Private salary: exempt (1/3 or cap)</t>
  </si>
  <si>
    <t xml:space="preserve">s1b.net</t>
  </si>
  <si>
    <t xml:space="preserve">Private salary: taxable</t>
  </si>
  <si>
    <t xml:space="preserve">hp1.r1</t>
  </si>
  <si>
    <t xml:space="preserve">Property 1: annual value</t>
  </si>
  <si>
    <t xml:space="preserve">hp1.r2</t>
  </si>
  <si>
    <t xml:space="preserve">Property 1: advance rent</t>
  </si>
  <si>
    <t xml:space="preserve">hp1.r3</t>
  </si>
  <si>
    <t xml:space="preserve">Property 1: other benefits</t>
  </si>
  <si>
    <t xml:space="preserve">hp1.r4</t>
  </si>
  <si>
    <t xml:space="preserve">Property 1: adjusted advance rent</t>
  </si>
  <si>
    <t xml:space="preserve">hp1.r5</t>
  </si>
  <si>
    <t xml:space="preserve">Property 1: vacancy allowance</t>
  </si>
  <si>
    <t xml:space="preserve">hp1.r6</t>
  </si>
  <si>
    <t xml:space="preserve">Property 1: total rent income</t>
  </si>
  <si>
    <t xml:space="preserve">hp1.com</t>
  </si>
  <si>
    <t xml:space="preserve">Property 1: commercial</t>
  </si>
  <si>
    <t xml:space="preserve">hp1.da</t>
  </si>
  <si>
    <t xml:space="preserve">Property 1: repair allowance</t>
  </si>
  <si>
    <t xml:space="preserve">hp1.db</t>
  </si>
  <si>
    <t xml:space="preserve">Property 1: municipal tax</t>
  </si>
  <si>
    <t xml:space="preserve">hp1.dc</t>
  </si>
  <si>
    <t xml:space="preserve">Property 1: land revenue</t>
  </si>
  <si>
    <t xml:space="preserve">hp1.dd</t>
  </si>
  <si>
    <t xml:space="preserve">Property 1: loan interest</t>
  </si>
  <si>
    <t xml:space="preserve">hp1.de</t>
  </si>
  <si>
    <t xml:space="preserve">Property 1: insurance premium</t>
  </si>
  <si>
    <t xml:space="preserve">hp1.df</t>
  </si>
  <si>
    <t xml:space="preserve">Property 1: other deductions</t>
  </si>
  <si>
    <t xml:space="preserve">hp1.r8</t>
  </si>
  <si>
    <t xml:space="preserve">Property 1: total deductions</t>
  </si>
  <si>
    <t xml:space="preserve">hp1.r9</t>
  </si>
  <si>
    <t xml:space="preserve">Property 1: income</t>
  </si>
  <si>
    <t xml:space="preserve">hp1.share</t>
  </si>
  <si>
    <t xml:space="preserve">Property 1: ownership share</t>
  </si>
  <si>
    <t xml:space="preserve">hp1.income</t>
  </si>
  <si>
    <t xml:space="preserve">Property 1: your income</t>
  </si>
  <si>
    <t xml:space="preserve">hp1.used</t>
  </si>
  <si>
    <t xml:space="preserve">Property 1: filled in</t>
  </si>
  <si>
    <t xml:space="preserve">hp2.r1</t>
  </si>
  <si>
    <t xml:space="preserve">Property 2: annual value</t>
  </si>
  <si>
    <t xml:space="preserve">hp2.r2</t>
  </si>
  <si>
    <t xml:space="preserve">Property 2: advance rent</t>
  </si>
  <si>
    <t xml:space="preserve">hp2.r3</t>
  </si>
  <si>
    <t xml:space="preserve">Property 2: other benefits</t>
  </si>
  <si>
    <t xml:space="preserve">hp2.r4</t>
  </si>
  <si>
    <t xml:space="preserve">Property 2: adjusted advance rent</t>
  </si>
  <si>
    <t xml:space="preserve">hp2.r5</t>
  </si>
  <si>
    <t xml:space="preserve">Property 2: vacancy allowance</t>
  </si>
  <si>
    <t xml:space="preserve">hp2.r6</t>
  </si>
  <si>
    <t xml:space="preserve">Property 2: total rent income</t>
  </si>
  <si>
    <t xml:space="preserve">hp2.com</t>
  </si>
  <si>
    <t xml:space="preserve">Property 2: commercial</t>
  </si>
  <si>
    <t xml:space="preserve">hp2.da</t>
  </si>
  <si>
    <t xml:space="preserve">Property 2: repair allowance</t>
  </si>
  <si>
    <t xml:space="preserve">hp2.db</t>
  </si>
  <si>
    <t xml:space="preserve">Property 2: municipal tax</t>
  </si>
  <si>
    <t xml:space="preserve">hp2.dc</t>
  </si>
  <si>
    <t xml:space="preserve">Property 2: land revenue</t>
  </si>
  <si>
    <t xml:space="preserve">hp2.dd</t>
  </si>
  <si>
    <t xml:space="preserve">Property 2: loan interest</t>
  </si>
  <si>
    <t xml:space="preserve">hp2.de</t>
  </si>
  <si>
    <t xml:space="preserve">Property 2: insurance premium</t>
  </si>
  <si>
    <t xml:space="preserve">hp2.df</t>
  </si>
  <si>
    <t xml:space="preserve">Property 2: other deductions</t>
  </si>
  <si>
    <t xml:space="preserve">hp2.r8</t>
  </si>
  <si>
    <t xml:space="preserve">Property 2: total deductions</t>
  </si>
  <si>
    <t xml:space="preserve">hp2.r9</t>
  </si>
  <si>
    <t xml:space="preserve">Property 2: income</t>
  </si>
  <si>
    <t xml:space="preserve">hp2.share</t>
  </si>
  <si>
    <t xml:space="preserve">Property 2: ownership share</t>
  </si>
  <si>
    <t xml:space="preserve">hp2.income</t>
  </si>
  <si>
    <t xml:space="preserve">Property 2: your income</t>
  </si>
  <si>
    <t xml:space="preserve">hp2.used</t>
  </si>
  <si>
    <t xml:space="preserve">Property 2: filled in</t>
  </si>
  <si>
    <t xml:space="preserve">hp3.r1</t>
  </si>
  <si>
    <t xml:space="preserve">Property 3: annual value</t>
  </si>
  <si>
    <t xml:space="preserve">hp3.r2</t>
  </si>
  <si>
    <t xml:space="preserve">Property 3: advance rent</t>
  </si>
  <si>
    <t xml:space="preserve">hp3.r3</t>
  </si>
  <si>
    <t xml:space="preserve">Property 3: other benefits</t>
  </si>
  <si>
    <t xml:space="preserve">hp3.r4</t>
  </si>
  <si>
    <t xml:space="preserve">Property 3: adjusted advance rent</t>
  </si>
  <si>
    <t xml:space="preserve">hp3.r5</t>
  </si>
  <si>
    <t xml:space="preserve">Property 3: vacancy allowance</t>
  </si>
  <si>
    <t xml:space="preserve">hp3.r6</t>
  </si>
  <si>
    <t xml:space="preserve">Property 3: total rent income</t>
  </si>
  <si>
    <t xml:space="preserve">hp3.com</t>
  </si>
  <si>
    <t xml:space="preserve">Property 3: commercial</t>
  </si>
  <si>
    <t xml:space="preserve">hp3.da</t>
  </si>
  <si>
    <t xml:space="preserve">Property 3: repair allowance</t>
  </si>
  <si>
    <t xml:space="preserve">hp3.db</t>
  </si>
  <si>
    <t xml:space="preserve">Property 3: municipal tax</t>
  </si>
  <si>
    <t xml:space="preserve">hp3.dc</t>
  </si>
  <si>
    <t xml:space="preserve">Property 3: land revenue</t>
  </si>
  <si>
    <t xml:space="preserve">hp3.dd</t>
  </si>
  <si>
    <t xml:space="preserve">Property 3: loan interest</t>
  </si>
  <si>
    <t xml:space="preserve">hp3.de</t>
  </si>
  <si>
    <t xml:space="preserve">Property 3: insurance premium</t>
  </si>
  <si>
    <t xml:space="preserve">hp3.df</t>
  </si>
  <si>
    <t xml:space="preserve">Property 3: other deductions</t>
  </si>
  <si>
    <t xml:space="preserve">hp3.r8</t>
  </si>
  <si>
    <t xml:space="preserve">Property 3: total deductions</t>
  </si>
  <si>
    <t xml:space="preserve">hp3.r9</t>
  </si>
  <si>
    <t xml:space="preserve">Property 3: income</t>
  </si>
  <si>
    <t xml:space="preserve">hp3.share</t>
  </si>
  <si>
    <t xml:space="preserve">Property 3: ownership share</t>
  </si>
  <si>
    <t xml:space="preserve">hp3.income</t>
  </si>
  <si>
    <t xml:space="preserve">Property 3: your income</t>
  </si>
  <si>
    <t xml:space="preserve">hp3.used</t>
  </si>
  <si>
    <t xml:space="preserve">Property 3: filled in</t>
  </si>
  <si>
    <t xml:space="preserve">s2.r1</t>
  </si>
  <si>
    <t xml:space="preserve">Schedule 2 r1</t>
  </si>
  <si>
    <t xml:space="preserve">s2.r2</t>
  </si>
  <si>
    <t xml:space="preserve">Schedule 2 r2</t>
  </si>
  <si>
    <t xml:space="preserve">s2.r3</t>
  </si>
  <si>
    <t xml:space="preserve">Schedule 2 r3</t>
  </si>
  <si>
    <t xml:space="preserve">s2.r4</t>
  </si>
  <si>
    <t xml:space="preserve">Schedule 2 r4</t>
  </si>
  <si>
    <t xml:space="preserve">s2.r5</t>
  </si>
  <si>
    <t xml:space="preserve">Schedule 2 r5</t>
  </si>
  <si>
    <t xml:space="preserve">s2.r6</t>
  </si>
  <si>
    <t xml:space="preserve">Schedule 2 r6</t>
  </si>
  <si>
    <t xml:space="preserve">s2.da</t>
  </si>
  <si>
    <t xml:space="preserve">Schedule 2 da</t>
  </si>
  <si>
    <t xml:space="preserve">s2.db</t>
  </si>
  <si>
    <t xml:space="preserve">Schedule 2 db</t>
  </si>
  <si>
    <t xml:space="preserve">s2.dc</t>
  </si>
  <si>
    <t xml:space="preserve">Schedule 2 dc</t>
  </si>
  <si>
    <t xml:space="preserve">s2.dd</t>
  </si>
  <si>
    <t xml:space="preserve">Schedule 2 dd</t>
  </si>
  <si>
    <t xml:space="preserve">s2.de</t>
  </si>
  <si>
    <t xml:space="preserve">Schedule 2 de</t>
  </si>
  <si>
    <t xml:space="preserve">s2.df</t>
  </si>
  <si>
    <t xml:space="preserve">Schedule 2 df</t>
  </si>
  <si>
    <t xml:space="preserve">s2.r8</t>
  </si>
  <si>
    <t xml:space="preserve">Schedule 2 r8</t>
  </si>
  <si>
    <t xml:space="preserve">s2.r9</t>
  </si>
  <si>
    <t xml:space="preserve">Schedule 2 r9</t>
  </si>
  <si>
    <t xml:space="preserve">s2.r7</t>
  </si>
  <si>
    <t xml:space="preserve">Schedule 2 deductions (line 7 total)</t>
  </si>
  <si>
    <t xml:space="preserve">s2.r10</t>
  </si>
  <si>
    <t xml:space="preserve">Schedule 2 share of income (part ownership)</t>
  </si>
  <si>
    <t xml:space="preserve">s2.nused</t>
  </si>
  <si>
    <t xml:space="preserve">Properties filled in</t>
  </si>
  <si>
    <t xml:space="preserve">s2.ncom</t>
  </si>
  <si>
    <t xml:space="preserve">Commercial properties</t>
  </si>
  <si>
    <t xml:space="preserve">s2.rate</t>
  </si>
  <si>
    <t xml:space="preserve">Repair allowance shown</t>
  </si>
  <si>
    <t xml:space="preserve">s2.desc</t>
  </si>
  <si>
    <t xml:space="preserve">Property descriptions</t>
  </si>
  <si>
    <t xml:space="preserve">house_income</t>
  </si>
  <si>
    <t xml:space="preserve">Income from house property</t>
  </si>
  <si>
    <t xml:space="preserve">s3.nature</t>
  </si>
  <si>
    <t xml:space="preserve">s3.r1</t>
  </si>
  <si>
    <t xml:space="preserve">Agriculture turnover</t>
  </si>
  <si>
    <t xml:space="preserve">s3.r2</t>
  </si>
  <si>
    <t xml:space="preserve">Agriculture gross profit</t>
  </si>
  <si>
    <t xml:space="preserve">s3.r3</t>
  </si>
  <si>
    <t xml:space="preserve">Agriculture expenses</t>
  </si>
  <si>
    <t xml:space="preserve">s3.r4</t>
  </si>
  <si>
    <t xml:space="preserve">Agriculture net profit</t>
  </si>
  <si>
    <t xml:space="preserve">s4.name</t>
  </si>
  <si>
    <t xml:space="preserve">Business name</t>
  </si>
  <si>
    <t xml:space="preserve">s4.nature</t>
  </si>
  <si>
    <t xml:space="preserve">Business nature</t>
  </si>
  <si>
    <t xml:space="preserve">s4.address</t>
  </si>
  <si>
    <t xml:space="preserve">Business address</t>
  </si>
  <si>
    <t xml:space="preserve">s4.r1</t>
  </si>
  <si>
    <t xml:space="preserve">Turnover</t>
  </si>
  <si>
    <t xml:space="preserve">s4.r2</t>
  </si>
  <si>
    <t xml:space="preserve">s4.r3</t>
  </si>
  <si>
    <t xml:space="preserve">Expenses</t>
  </si>
  <si>
    <t xml:space="preserve">s4.r4</t>
  </si>
  <si>
    <t xml:space="preserve">s4.r5</t>
  </si>
  <si>
    <t xml:space="preserve">Net profit</t>
  </si>
  <si>
    <t xml:space="preserve">s4.r6</t>
  </si>
  <si>
    <t xml:space="preserve">s4.r7</t>
  </si>
  <si>
    <t xml:space="preserve">s4.r8</t>
  </si>
  <si>
    <t xml:space="preserve">s4.r9</t>
  </si>
  <si>
    <t xml:space="preserve">s4.r10</t>
  </si>
  <si>
    <t xml:space="preserve">Total assets</t>
  </si>
  <si>
    <t xml:space="preserve">s4.r11</t>
  </si>
  <si>
    <t xml:space="preserve">s4.r12</t>
  </si>
  <si>
    <t xml:space="preserve">s4.r13</t>
  </si>
  <si>
    <t xml:space="preserve">Drawings</t>
  </si>
  <si>
    <t xml:space="preserve">s4.r14</t>
  </si>
  <si>
    <t xml:space="preserve">Closing capital</t>
  </si>
  <si>
    <t xml:space="preserve">s4.r15</t>
  </si>
  <si>
    <t xml:space="preserve">s4.r16</t>
  </si>
  <si>
    <t xml:space="preserve">Total capital and liabilities</t>
  </si>
  <si>
    <t xml:space="preserve">biz_present</t>
  </si>
  <si>
    <t xml:space="preserve">Business balance sheet entered</t>
  </si>
  <si>
    <t xml:space="preserve">Line 1 salaries</t>
  </si>
  <si>
    <t xml:space="preserve">Line 2 house property</t>
  </si>
  <si>
    <t xml:space="preserve">Line 3 agriculture</t>
  </si>
  <si>
    <t xml:space="preserve">Line 4 business</t>
  </si>
  <si>
    <t xml:space="preserve">Line 5 capital gains</t>
  </si>
  <si>
    <t xml:space="preserve">r6</t>
  </si>
  <si>
    <t xml:space="preserve">Line 6 financial assets (incl. savings certificates)</t>
  </si>
  <si>
    <t xml:space="preserve">r7</t>
  </si>
  <si>
    <t xml:space="preserve">Line 7 other sources</t>
  </si>
  <si>
    <t xml:space="preserve">r8</t>
  </si>
  <si>
    <t xml:space="preserve">Line 8 share of firm or AOP</t>
  </si>
  <si>
    <t xml:space="preserve">r9</t>
  </si>
  <si>
    <t xml:space="preserve">Line 9 minor or spouse</t>
  </si>
  <si>
    <t xml:space="preserve">r10</t>
  </si>
  <si>
    <t xml:space="preserve">Line 10 foreign income</t>
  </si>
  <si>
    <t xml:space="preserve">r11</t>
  </si>
  <si>
    <t xml:space="preserve">Line 11 total income</t>
  </si>
  <si>
    <t xml:space="preserve">tf.r01</t>
  </si>
  <si>
    <t xml:space="preserve">Tax-free row 01: salary exemption</t>
  </si>
  <si>
    <t xml:space="preserve">tf.r02</t>
  </si>
  <si>
    <t xml:space="preserve">Tax-free row 02: govt_pf</t>
  </si>
  <si>
    <t xml:space="preserve">tf.r03</t>
  </si>
  <si>
    <t xml:space="preserve">Tax-free row 03: taxed_distribution</t>
  </si>
  <si>
    <t xml:space="preserve">tf.r04</t>
  </si>
  <si>
    <t xml:space="preserve">Tax-free row 04: pf_1925_income</t>
  </si>
  <si>
    <t xml:space="preserve">tf.r05</t>
  </si>
  <si>
    <t xml:space="preserve">Tax-free row 05: voluntary_retirement</t>
  </si>
  <si>
    <t xml:space="preserve">tf.r06</t>
  </si>
  <si>
    <t xml:space="preserve">Tax-free row 06: pensioners_savings_certificate</t>
  </si>
  <si>
    <t xml:space="preserve">tf.r07</t>
  </si>
  <si>
    <t xml:space="preserve">Tax-free row 07: firm_capital_share</t>
  </si>
  <si>
    <t xml:space="preserve">tf.r08</t>
  </si>
  <si>
    <t xml:space="preserve">Tax-free row 08: huf_share</t>
  </si>
  <si>
    <t xml:space="preserve">tf.r09</t>
  </si>
  <si>
    <t xml:space="preserve">Tax-free row 09: foreign_remittance</t>
  </si>
  <si>
    <t xml:space="preserve">tf.r10</t>
  </si>
  <si>
    <t xml:space="preserve">Tax-free row 10: wage_earners_fund</t>
  </si>
  <si>
    <t xml:space="preserve">tf.r11</t>
  </si>
  <si>
    <t xml:space="preserve">Tax-free row 11: hill_tracts</t>
  </si>
  <si>
    <t xml:space="preserve">tf.r12</t>
  </si>
  <si>
    <t xml:space="preserve">Tax-free row 12: agricultural</t>
  </si>
  <si>
    <t xml:space="preserve">tf.r13</t>
  </si>
  <si>
    <t xml:space="preserve">Tax-free row 13: software_it</t>
  </si>
  <si>
    <t xml:space="preserve">tf.r14</t>
  </si>
  <si>
    <t xml:space="preserve">Tax-free row 14: handicrafts_export</t>
  </si>
  <si>
    <t xml:space="preserve">tf.r15</t>
  </si>
  <si>
    <t xml:space="preserve">Tax-free row 15: sme</t>
  </si>
  <si>
    <t xml:space="preserve">tf.r16</t>
  </si>
  <si>
    <t xml:space="preserve">Tax-free row 16: zero_coupon</t>
  </si>
  <si>
    <t xml:space="preserve">tf.r17</t>
  </si>
  <si>
    <t xml:space="preserve">Tax-free row 17: govt_pension</t>
  </si>
  <si>
    <t xml:space="preserve">tf.r18</t>
  </si>
  <si>
    <t xml:space="preserve">Tax-free row 18: welfare_allowance</t>
  </si>
  <si>
    <t xml:space="preserve">tf.r19</t>
  </si>
  <si>
    <t xml:space="preserve">Tax-free row 19: govt_award</t>
  </si>
  <si>
    <t xml:space="preserve">tf.r20</t>
  </si>
  <si>
    <t xml:space="preserve">Tax-free row 20: briddhashram</t>
  </si>
  <si>
    <t xml:space="preserve">tf.r21</t>
  </si>
  <si>
    <t xml:space="preserve">Tax-free row 21: seagoing_ship</t>
  </si>
  <si>
    <t xml:space="preserve">tf.r22</t>
  </si>
  <si>
    <t xml:space="preserve">Tax-free row 22: other</t>
  </si>
  <si>
    <t xml:space="preserve">tf.total</t>
  </si>
  <si>
    <t xml:space="preserve">Total tax-free income</t>
  </si>
  <si>
    <t xml:space="preserve">r26</t>
  </si>
  <si>
    <t xml:space="preserve">Line 26 tax-exempt income</t>
  </si>
  <si>
    <t xml:space="preserve">tc.A</t>
  </si>
  <si>
    <t xml:space="preserve">A. Total income</t>
  </si>
  <si>
    <t xml:space="preserve">tc.sp</t>
  </si>
  <si>
    <t xml:space="preserve">Less savings-certificate interest (final tax)</t>
  </si>
  <si>
    <t xml:space="preserve">tc.An</t>
  </si>
  <si>
    <t xml:space="preserve">Income for the slabs</t>
  </si>
  <si>
    <t xml:space="preserve">tc.s0.inc</t>
  </si>
  <si>
    <t xml:space="preserve">First slab income</t>
  </si>
  <si>
    <t xml:space="preserve">tc.s1.inc</t>
  </si>
  <si>
    <t xml:space="preserve">Slab 2 income</t>
  </si>
  <si>
    <t xml:space="preserve">tc.s2.inc</t>
  </si>
  <si>
    <t xml:space="preserve">Slab 3 income</t>
  </si>
  <si>
    <t xml:space="preserve">tc.s3.inc</t>
  </si>
  <si>
    <t xml:space="preserve">Slab 4 income</t>
  </si>
  <si>
    <t xml:space="preserve">tc.s4.inc</t>
  </si>
  <si>
    <t xml:space="preserve">Slab 5 income</t>
  </si>
  <si>
    <t xml:space="preserve">tc.s5.inc</t>
  </si>
  <si>
    <t xml:space="preserve">Rest of the income</t>
  </si>
  <si>
    <t xml:space="preserve">tc.s0.rate</t>
  </si>
  <si>
    <t xml:space="preserve">First slab rate</t>
  </si>
  <si>
    <t xml:space="preserve">tc.s1.rate</t>
  </si>
  <si>
    <t xml:space="preserve">tc.s2.rate</t>
  </si>
  <si>
    <t xml:space="preserve">tc.s3.rate</t>
  </si>
  <si>
    <t xml:space="preserve">tc.s4.rate</t>
  </si>
  <si>
    <t xml:space="preserve">tc.s5.rate</t>
  </si>
  <si>
    <t xml:space="preserve">Slab 6 rate</t>
  </si>
  <si>
    <t xml:space="preserve">tc.s0.tax</t>
  </si>
  <si>
    <t xml:space="preserve">First slab tax</t>
  </si>
  <si>
    <t xml:space="preserve">tc.s1.tax</t>
  </si>
  <si>
    <t xml:space="preserve">Slab 2 tax</t>
  </si>
  <si>
    <t xml:space="preserve">tc.s2.tax</t>
  </si>
  <si>
    <t xml:space="preserve">Slab 3 tax</t>
  </si>
  <si>
    <t xml:space="preserve">tc.s3.tax</t>
  </si>
  <si>
    <t xml:space="preserve">Slab 4 tax</t>
  </si>
  <si>
    <t xml:space="preserve">tc.s4.tax</t>
  </si>
  <si>
    <t xml:space="preserve">Slab 5 tax</t>
  </si>
  <si>
    <t xml:space="preserve">tc.s5.tax</t>
  </si>
  <si>
    <t xml:space="preserve">Slab 6 tax</t>
  </si>
  <si>
    <t xml:space="preserve">tc.sinc</t>
  </si>
  <si>
    <t xml:space="preserve">Total slab income</t>
  </si>
  <si>
    <t xml:space="preserve">tc.B</t>
  </si>
  <si>
    <t xml:space="preserve">B. Tax on slabs (line 12)</t>
  </si>
  <si>
    <t xml:space="preserve">s5.r1</t>
  </si>
  <si>
    <t xml:space="preserve">Investment: life_insurance</t>
  </si>
  <si>
    <t xml:space="preserve">s5.r2</t>
  </si>
  <si>
    <t xml:space="preserve">Investment: dps</t>
  </si>
  <si>
    <t xml:space="preserve">s5.r3</t>
  </si>
  <si>
    <t xml:space="preserve">Investment: govt_securities</t>
  </si>
  <si>
    <t xml:space="preserve">s5.r4</t>
  </si>
  <si>
    <t xml:space="preserve">Investment: listed_securities</t>
  </si>
  <si>
    <t xml:space="preserve">s5.r5</t>
  </si>
  <si>
    <t xml:space="preserve">Investment: pf_1925</t>
  </si>
  <si>
    <t xml:space="preserve">s5.r6</t>
  </si>
  <si>
    <t xml:space="preserve">Investment: rpf</t>
  </si>
  <si>
    <t xml:space="preserve">s5.r7</t>
  </si>
  <si>
    <t xml:space="preserve">Investment: pension_fund</t>
  </si>
  <si>
    <t xml:space="preserve">s5.r8</t>
  </si>
  <si>
    <t xml:space="preserve">Investment: benevolent_group_insurance</t>
  </si>
  <si>
    <t xml:space="preserve">s5.r9</t>
  </si>
  <si>
    <t xml:space="preserve">Investment: zakat</t>
  </si>
  <si>
    <t xml:space="preserve">s5.r10</t>
  </si>
  <si>
    <t xml:space="preserve">Investment: others</t>
  </si>
  <si>
    <t xml:space="preserve">s5.r11</t>
  </si>
  <si>
    <t xml:space="preserve">Total investment</t>
  </si>
  <si>
    <t xml:space="preserve">tc.ci</t>
  </si>
  <si>
    <t xml:space="preserve">Rebate limit i: share of income</t>
  </si>
  <si>
    <t xml:space="preserve">tc.cii</t>
  </si>
  <si>
    <t xml:space="preserve">Rebate limit ii: share of investment</t>
  </si>
  <si>
    <t xml:space="preserve">tc.ciii</t>
  </si>
  <si>
    <t xml:space="preserve">Rebate limit iii: maximum</t>
  </si>
  <si>
    <t xml:space="preserve">tc.C</t>
  </si>
  <si>
    <t xml:space="preserve">C. Rebate (lowest of i, ii, iii)</t>
  </si>
  <si>
    <t xml:space="preserve">s5.r12</t>
  </si>
  <si>
    <t xml:space="preserve">Amount of tax rebate</t>
  </si>
  <si>
    <t xml:space="preserve">c_used</t>
  </si>
  <si>
    <t xml:space="preserve">Rebate used (not more than the slab tax)</t>
  </si>
  <si>
    <t xml:space="preserve">tc.D</t>
  </si>
  <si>
    <t xml:space="preserve">D. Tax after rebate</t>
  </si>
  <si>
    <t xml:space="preserve">tc.ei</t>
  </si>
  <si>
    <t xml:space="preserve">E i. Minimum tax</t>
  </si>
  <si>
    <t xml:space="preserve">tc.eii</t>
  </si>
  <si>
    <t xml:space="preserve">E ii. Minimum tax u/s 163(2)(kha)</t>
  </si>
  <si>
    <t xml:space="preserve">tc.eiii</t>
  </si>
  <si>
    <t xml:space="preserve">E iii. Minimum tax u/s 163(5)(ka)</t>
  </si>
  <si>
    <t xml:space="preserve">tc.E</t>
  </si>
  <si>
    <t xml:space="preserve">E. Minimum tax (highest)</t>
  </si>
  <si>
    <t xml:space="preserve">tc.F</t>
  </si>
  <si>
    <t xml:space="preserve">F. Tax payable (higher of D and E)</t>
  </si>
  <si>
    <t xml:space="preserve">tc.j1</t>
  </si>
  <si>
    <t xml:space="preserve">J. Remuneration (TDS)</t>
  </si>
  <si>
    <t xml:space="preserve">tc.j2</t>
  </si>
  <si>
    <t xml:space="preserve">J. AIT on savings certificates</t>
  </si>
  <si>
    <t xml:space="preserve">tc.j3</t>
  </si>
  <si>
    <t xml:space="preserve">J. AIT on WPPF</t>
  </si>
  <si>
    <t xml:space="preserve">tc.j4</t>
  </si>
  <si>
    <t xml:space="preserve">J. AIT with car</t>
  </si>
  <si>
    <t xml:space="preserve">tc.j5</t>
  </si>
  <si>
    <t xml:space="preserve">J. AIT on bank interest</t>
  </si>
  <si>
    <t xml:space="preserve">tc.j6</t>
  </si>
  <si>
    <t xml:space="preserve">J. Refund adjusted</t>
  </si>
  <si>
    <t xml:space="preserve">tc.j7</t>
  </si>
  <si>
    <t xml:space="preserve">J. Advance tax</t>
  </si>
  <si>
    <t xml:space="preserve">tc.jsub1</t>
  </si>
  <si>
    <t xml:space="preserve">Tax deducted or collected at source</t>
  </si>
  <si>
    <t xml:space="preserve">tc.jsub2</t>
  </si>
  <si>
    <t xml:space="preserve">Refund adjusted and advance tax</t>
  </si>
  <si>
    <t xml:space="preserve">tc.H</t>
  </si>
  <si>
    <t xml:space="preserve">H. Final tax on savings certificates</t>
  </si>
  <si>
    <t xml:space="preserve">env</t>
  </si>
  <si>
    <t xml:space="preserve">Environmental surcharge</t>
  </si>
  <si>
    <t xml:space="preserve">delay</t>
  </si>
  <si>
    <t xml:space="preserve">Delay interest and penalty</t>
  </si>
  <si>
    <t xml:space="preserve">paid_given</t>
  </si>
  <si>
    <t xml:space="preserve">Amount paid with the return entered</t>
  </si>
  <si>
    <t xml:space="preserve">a.agg</t>
  </si>
  <si>
    <t xml:space="preserve">Aggregate business capital and liabilities</t>
  </si>
  <si>
    <t xml:space="preserve">a.bliab</t>
  </si>
  <si>
    <t xml:space="preserve">Business liabilities</t>
  </si>
  <si>
    <t xml:space="preserve">a.bcap</t>
  </si>
  <si>
    <t xml:space="preserve">Business capital</t>
  </si>
  <si>
    <t xml:space="preserve">a.dir</t>
  </si>
  <si>
    <t xml:space="preserve">Director's shareholdings</t>
  </si>
  <si>
    <t xml:space="preserve">a.bcap_other</t>
  </si>
  <si>
    <t xml:space="preserve">Business capital other than director's shareholdings</t>
  </si>
  <si>
    <t xml:space="preserve">a.d1_desc</t>
  </si>
  <si>
    <t xml:space="preserve">Non-agricultural property 1</t>
  </si>
  <si>
    <t xml:space="preserve">a.d1_val</t>
  </si>
  <si>
    <t xml:space="preserve">Non-agricultural property 1 value</t>
  </si>
  <si>
    <t xml:space="preserve">a.d2_desc</t>
  </si>
  <si>
    <t xml:space="preserve">Non-agricultural property 2</t>
  </si>
  <si>
    <t xml:space="preserve">a.d2_val</t>
  </si>
  <si>
    <t xml:space="preserve">Non-agricultural property 2 value</t>
  </si>
  <si>
    <t xml:space="preserve">a.d3_desc</t>
  </si>
  <si>
    <t xml:space="preserve">Non-agricultural property 3</t>
  </si>
  <si>
    <t xml:space="preserve">a.d3_val</t>
  </si>
  <si>
    <t xml:space="preserve">Non-agricultural property 3 value</t>
  </si>
  <si>
    <t xml:space="preserve">a.d4_desc</t>
  </si>
  <si>
    <t xml:space="preserve">Non-agricultural property 4</t>
  </si>
  <si>
    <t xml:space="preserve">a.d4_val</t>
  </si>
  <si>
    <t xml:space="preserve">Non-agricultural property 4 value</t>
  </si>
  <si>
    <t xml:space="preserve">a.d_total</t>
  </si>
  <si>
    <t xml:space="preserve">Non-agricultural property total</t>
  </si>
  <si>
    <t xml:space="preserve">a.e_total</t>
  </si>
  <si>
    <t xml:space="preserve">Agricultural property total</t>
  </si>
  <si>
    <t xml:space="preserve">a.e_desc</t>
  </si>
  <si>
    <t xml:space="preserve">Agricultural property description</t>
  </si>
  <si>
    <t xml:space="preserve">a.f1</t>
  </si>
  <si>
    <t xml:space="preserve">Financial asset 1</t>
  </si>
  <si>
    <t xml:space="preserve">a.f2</t>
  </si>
  <si>
    <t xml:space="preserve">Financial asset 2</t>
  </si>
  <si>
    <t xml:space="preserve">a.f3</t>
  </si>
  <si>
    <t xml:space="preserve">Financial asset 3</t>
  </si>
  <si>
    <t xml:space="preserve">a.f4</t>
  </si>
  <si>
    <t xml:space="preserve">Financial asset 4</t>
  </si>
  <si>
    <t xml:space="preserve">a.f5</t>
  </si>
  <si>
    <t xml:space="preserve">Financial asset 5</t>
  </si>
  <si>
    <t xml:space="preserve">a.f6</t>
  </si>
  <si>
    <t xml:space="preserve">Financial asset 6</t>
  </si>
  <si>
    <t xml:space="preserve">a.f7</t>
  </si>
  <si>
    <t xml:space="preserve">Financial asset 7</t>
  </si>
  <si>
    <t xml:space="preserve">a.f_total</t>
  </si>
  <si>
    <t xml:space="preserve">Total financial assets</t>
  </si>
  <si>
    <t xml:space="preserve">a.g</t>
  </si>
  <si>
    <t xml:space="preserve">Motor car</t>
  </si>
  <si>
    <t xml:space="preserve">a.g_desc</t>
  </si>
  <si>
    <t xml:space="preserve">Motor car details</t>
  </si>
  <si>
    <t xml:space="preserve">a.h</t>
  </si>
  <si>
    <t xml:space="preserve">Ornaments</t>
  </si>
  <si>
    <t xml:space="preserve">a.h_qty</t>
  </si>
  <si>
    <t xml:space="preserve">a.h_type</t>
  </si>
  <si>
    <t xml:space="preserve">a.h_type_shown</t>
  </si>
  <si>
    <t xml:space="preserve">Ornaments type as printed</t>
  </si>
  <si>
    <t xml:space="preserve">a.h_note</t>
  </si>
  <si>
    <t xml:space="preserve">a.i</t>
  </si>
  <si>
    <t xml:space="preserve">a.i_note</t>
  </si>
  <si>
    <t xml:space="preserve">a.j</t>
  </si>
  <si>
    <t xml:space="preserve">non_cash</t>
  </si>
  <si>
    <t xml:space="preserve">Assets other than cash</t>
  </si>
  <si>
    <t xml:space="preserve">w.6a</t>
  </si>
  <si>
    <t xml:space="preserve">Institutional liabilities</t>
  </si>
  <si>
    <t xml:space="preserve">w.6b</t>
  </si>
  <si>
    <t xml:space="preserve">Non-institutional liabilities</t>
  </si>
  <si>
    <t xml:space="preserve">w.6c</t>
  </si>
  <si>
    <t xml:space="preserve">w.liab</t>
  </si>
  <si>
    <t xml:space="preserve">Total liabilities</t>
  </si>
  <si>
    <t xml:space="preserve">other_out</t>
  </si>
  <si>
    <t xml:space="preserve">Gifts given, losses, other outflows</t>
  </si>
  <si>
    <t xml:space="preserve">gift_in</t>
  </si>
  <si>
    <t xml:space="preserve">Receipt of gift and others (entered)</t>
  </si>
  <si>
    <t xml:space="preserve">cash_in</t>
  </si>
  <si>
    <t xml:space="preserve">Cash and bank (entered)</t>
  </si>
  <si>
    <t xml:space="preserve">prev_given</t>
  </si>
  <si>
    <t xml:space="preserve">Last year's net wealth entered</t>
  </si>
  <si>
    <t xml:space="preserve">prev</t>
  </si>
  <si>
    <t xml:space="preserve">Last year's net wealth</t>
  </si>
  <si>
    <t xml:space="preserve">mode</t>
  </si>
  <si>
    <t xml:space="preserve">life_base</t>
  </si>
  <si>
    <t xml:space="preserve">Living expenses other than tax</t>
  </si>
  <si>
    <t xml:space="preserve">k0</t>
  </si>
  <si>
    <t xml:space="preserve">Balance before surcharge</t>
  </si>
  <si>
    <t xml:space="preserve">p24_0</t>
  </si>
  <si>
    <t xml:space="preserve">Tax paid before surcharge</t>
  </si>
  <si>
    <t xml:space="preserve">nw0</t>
  </si>
  <si>
    <t xml:space="preserve">Net wealth before surcharge</t>
  </si>
  <si>
    <t xml:space="preserve">sur_band_rate</t>
  </si>
  <si>
    <t xml:space="preserve">Surcharge rate from net wealth</t>
  </si>
  <si>
    <t xml:space="preserve">sur_rate</t>
  </si>
  <si>
    <t xml:space="preserve">Surcharge rate</t>
  </si>
  <si>
    <t xml:space="preserve">surcharge</t>
  </si>
  <si>
    <t xml:space="preserve">Net wealth surcharge</t>
  </si>
  <si>
    <t xml:space="preserve">tc.gs</t>
  </si>
  <si>
    <t xml:space="preserve">G. Surcharge</t>
  </si>
  <si>
    <t xml:space="preserve">tc.gd</t>
  </si>
  <si>
    <t xml:space="preserve">G. Delay interest, penalty</t>
  </si>
  <si>
    <t xml:space="preserve">tc.G</t>
  </si>
  <si>
    <t xml:space="preserve">G. Total</t>
  </si>
  <si>
    <t xml:space="preserve">tc.I</t>
  </si>
  <si>
    <t xml:space="preserve">I. Total payable</t>
  </si>
  <si>
    <t xml:space="preserve">tc.K</t>
  </si>
  <si>
    <t xml:space="preserve">K. Balance payable/(refundable)</t>
  </si>
  <si>
    <t xml:space="preserve">tc.paid</t>
  </si>
  <si>
    <t xml:space="preserve">Paid with the return by A-challan</t>
  </si>
  <si>
    <t xml:space="preserve">tc.challan</t>
  </si>
  <si>
    <t xml:space="preserve">tc.net</t>
  </si>
  <si>
    <t xml:space="preserve">Net tax payable/(refundable)</t>
  </si>
  <si>
    <t xml:space="preserve">r12</t>
  </si>
  <si>
    <t xml:space="preserve">Line 12 gross tax</t>
  </si>
  <si>
    <t xml:space="preserve">r13</t>
  </si>
  <si>
    <t xml:space="preserve">Line 13 rebate</t>
  </si>
  <si>
    <t xml:space="preserve">r14</t>
  </si>
  <si>
    <t xml:space="preserve">Line 14 net tax after rebate</t>
  </si>
  <si>
    <t xml:space="preserve">r15</t>
  </si>
  <si>
    <t xml:space="preserve">Line 15 minimum tax</t>
  </si>
  <si>
    <t xml:space="preserve">r16</t>
  </si>
  <si>
    <t xml:space="preserve">Line 16 tax payable</t>
  </si>
  <si>
    <t xml:space="preserve">r17a</t>
  </si>
  <si>
    <t xml:space="preserve">Line 17(a) net wealth surcharge</t>
  </si>
  <si>
    <t xml:space="preserve">r17b</t>
  </si>
  <si>
    <t xml:space="preserve">Line 17(b) environmental surcharge</t>
  </si>
  <si>
    <t xml:space="preserve">r17</t>
  </si>
  <si>
    <t xml:space="preserve">Line 17 surcharges</t>
  </si>
  <si>
    <t xml:space="preserve">r18</t>
  </si>
  <si>
    <t xml:space="preserve">Line 18 delay interest, penalty, final tax</t>
  </si>
  <si>
    <t xml:space="preserve">r19</t>
  </si>
  <si>
    <t xml:space="preserve">Line 19 total amount payable</t>
  </si>
  <si>
    <t xml:space="preserve">r20</t>
  </si>
  <si>
    <t xml:space="preserve">Line 20 tax deducted at source</t>
  </si>
  <si>
    <t xml:space="preserve">r21</t>
  </si>
  <si>
    <t xml:space="preserve">Line 21 advance tax</t>
  </si>
  <si>
    <t xml:space="preserve">r22</t>
  </si>
  <si>
    <t xml:space="preserve">Line 22 refund adjusted</t>
  </si>
  <si>
    <t xml:space="preserve">r22_years</t>
  </si>
  <si>
    <t xml:space="preserve">Line 22 assessment years of the refund</t>
  </si>
  <si>
    <t xml:space="preserve">r23</t>
  </si>
  <si>
    <t xml:space="preserve">Line 23 paid with the return</t>
  </si>
  <si>
    <t xml:space="preserve">r24</t>
  </si>
  <si>
    <t xml:space="preserve">Line 24 total paid and adjusted</t>
  </si>
  <si>
    <t xml:space="preserve">r25</t>
  </si>
  <si>
    <t xml:space="preserve">Line 25 deficit or (excess)</t>
  </si>
  <si>
    <t xml:space="preserve">ack.income</t>
  </si>
  <si>
    <t xml:space="preserve">Acknowledgement: total income</t>
  </si>
  <si>
    <t xml:space="preserve">ack.paid</t>
  </si>
  <si>
    <t xml:space="preserve">Acknowledgement: total tax paid</t>
  </si>
  <si>
    <t xml:space="preserve">lb.r1</t>
  </si>
  <si>
    <t xml:space="preserve">IT-10BB food_clothing</t>
  </si>
  <si>
    <t xml:space="preserve">lb.r2</t>
  </si>
  <si>
    <t xml:space="preserve">IT-10BB housing</t>
  </si>
  <si>
    <t xml:space="preserve">lb.r3</t>
  </si>
  <si>
    <t xml:space="preserve">IT-10BB transport</t>
  </si>
  <si>
    <t xml:space="preserve">lb.r4</t>
  </si>
  <si>
    <t xml:space="preserve">IT-10BB utility</t>
  </si>
  <si>
    <t xml:space="preserve">lb.r5</t>
  </si>
  <si>
    <t xml:space="preserve">IT-10BB education</t>
  </si>
  <si>
    <t xml:space="preserve">lb.r6</t>
  </si>
  <si>
    <t xml:space="preserve">IT-10BB travel</t>
  </si>
  <si>
    <t xml:space="preserve">lb.r7</t>
  </si>
  <si>
    <t xml:space="preserve">IT-10BB festival</t>
  </si>
  <si>
    <t xml:space="preserve">lb.r8</t>
  </si>
  <si>
    <t xml:space="preserve">IT-10BB tax paid</t>
  </si>
  <si>
    <t xml:space="preserve">lb.r9</t>
  </si>
  <si>
    <t xml:space="preserve">IT-10BB loan_interest</t>
  </si>
  <si>
    <t xml:space="preserve">lb.c1</t>
  </si>
  <si>
    <t xml:space="preserve">IT-10BB note food_clothing</t>
  </si>
  <si>
    <t xml:space="preserve">lb.c2</t>
  </si>
  <si>
    <t xml:space="preserve">IT-10BB note housing</t>
  </si>
  <si>
    <t xml:space="preserve">lb.c3</t>
  </si>
  <si>
    <t xml:space="preserve">IT-10BB note transport</t>
  </si>
  <si>
    <t xml:space="preserve">lb.c4</t>
  </si>
  <si>
    <t xml:space="preserve">IT-10BB note utility</t>
  </si>
  <si>
    <t xml:space="preserve">lb.c5</t>
  </si>
  <si>
    <t xml:space="preserve">IT-10BB note education</t>
  </si>
  <si>
    <t xml:space="preserve">lb.c6</t>
  </si>
  <si>
    <t xml:space="preserve">IT-10BB note travel</t>
  </si>
  <si>
    <t xml:space="preserve">lb.c7</t>
  </si>
  <si>
    <t xml:space="preserve">IT-10BB note festival</t>
  </si>
  <si>
    <t xml:space="preserve">lb.c8</t>
  </si>
  <si>
    <t xml:space="preserve">IT-10BB note tax_paid</t>
  </si>
  <si>
    <t xml:space="preserve">lb.c9</t>
  </si>
  <si>
    <t xml:space="preserve">IT-10BB note loan_interest</t>
  </si>
  <si>
    <t xml:space="preserve">lb.total</t>
  </si>
  <si>
    <t xml:space="preserve">IT-10BB total</t>
  </si>
  <si>
    <t xml:space="preserve">lb.total2</t>
  </si>
  <si>
    <t xml:space="preserve">IT-10BB total (comments column)</t>
  </si>
  <si>
    <t xml:space="preserve">expenses</t>
  </si>
  <si>
    <t xml:space="preserve">Total expenses and losses</t>
  </si>
  <si>
    <t xml:space="preserve">w.1a</t>
  </si>
  <si>
    <t xml:space="preserve">IT-10B 1(a) total income</t>
  </si>
  <si>
    <t xml:space="preserve">w.1b</t>
  </si>
  <si>
    <t xml:space="preserve">IT-10B 1(b) tax-exempt income</t>
  </si>
  <si>
    <t xml:space="preserve">w.1c</t>
  </si>
  <si>
    <t xml:space="preserve">IT-10B 1(c) receipt of gift and others</t>
  </si>
  <si>
    <t xml:space="preserve">w.gift_label</t>
  </si>
  <si>
    <t xml:space="preserve">Label after 1(c)</t>
  </si>
  <si>
    <t xml:space="preserve">w.src</t>
  </si>
  <si>
    <t xml:space="preserve">Total sources of fund</t>
  </si>
  <si>
    <t xml:space="preserve">w.2</t>
  </si>
  <si>
    <t xml:space="preserve">Net wealth last year</t>
  </si>
  <si>
    <t xml:space="preserve">w.3</t>
  </si>
  <si>
    <t xml:space="preserve">Sources plus last year's net wealth</t>
  </si>
  <si>
    <t xml:space="preserve">w.4a</t>
  </si>
  <si>
    <t xml:space="preserve">Lifestyle expenses</t>
  </si>
  <si>
    <t xml:space="preserve">w.4b</t>
  </si>
  <si>
    <t xml:space="preserve">Gifts, expenses, losses not in IT-10BB</t>
  </si>
  <si>
    <t xml:space="preserve">w.exp</t>
  </si>
  <si>
    <t xml:space="preserve">w.5</t>
  </si>
  <si>
    <t xml:space="preserve">Net wealth at 30 June</t>
  </si>
  <si>
    <t xml:space="preserve">w.7</t>
  </si>
  <si>
    <t xml:space="preserve">Gross wealth</t>
  </si>
  <si>
    <t xml:space="preserve">a.k</t>
  </si>
  <si>
    <t xml:space="preserve">Cash, bank and funds</t>
  </si>
  <si>
    <t xml:space="preserve">a.total</t>
  </si>
  <si>
    <t xml:space="preserve">chk_name</t>
  </si>
  <si>
    <t xml:space="preserve">Check: name</t>
  </si>
  <si>
    <t xml:space="preserve">chk_tin</t>
  </si>
  <si>
    <t xml:space="preserve">Check: TIN</t>
  </si>
  <si>
    <t xml:space="preserve">chk_gift</t>
  </si>
  <si>
    <t xml:space="preserve">Check: gift</t>
  </si>
  <si>
    <t xml:space="preserve">chk_cash</t>
  </si>
  <si>
    <t xml:space="preserve">Check: cash</t>
  </si>
  <si>
    <t xml:space="preserve">chk_balance</t>
  </si>
  <si>
    <t xml:space="preserve">Check: IT-10B balance</t>
  </si>
  <si>
    <t xml:space="preserve">chk_biz</t>
  </si>
  <si>
    <t xml:space="preserve">Check: Schedule 4</t>
  </si>
  <si>
    <t xml:space="preserve">chk_deficit</t>
  </si>
  <si>
    <t xml:space="preserve">Check: deficit</t>
  </si>
  <si>
    <t xml:space="preserve">chk_min</t>
  </si>
  <si>
    <t xml:space="preserve">Check: minimum tax</t>
  </si>
  <si>
    <t xml:space="preserve">chk_rules</t>
  </si>
  <si>
    <t xml:space="preserve">Rules caution</t>
  </si>
  <si>
    <t xml:space="preserve">IT-11 Chha (2023)</t>
  </si>
  <si>
    <t xml:space="preserve">People's Republic of Bangladesh</t>
  </si>
  <si>
    <t xml:space="preserve">National Board of Revenue</t>
  </si>
  <si>
    <t xml:space="preserve">(Income Tax Office)</t>
  </si>
  <si>
    <t xml:space="preserve">Acknowledgement Receipt/Certificate of Return of Income</t>
  </si>
  <si>
    <t xml:space="preserve">Assessment Year:</t>
  </si>
  <si>
    <t xml:space="preserve">Name of the Assessee:</t>
  </si>
  <si>
    <t xml:space="preserve">National Identification Number/Passport Number (If no NID):</t>
  </si>
  <si>
    <t xml:space="preserve">TIN:</t>
  </si>
  <si>
    <t xml:space="preserve">Circle :</t>
  </si>
  <si>
    <t xml:space="preserve">Tax Zone :</t>
  </si>
  <si>
    <t xml:space="preserve">Total income shown</t>
  </si>
  <si>
    <t xml:space="preserve">Tk.</t>
  </si>
  <si>
    <t xml:space="preserve">Total tax paid</t>
  </si>
  <si>
    <t xml:space="preserve">Serial no. in return register</t>
  </si>
  <si>
    <t xml:space="preserve">Volumn no. in return register</t>
  </si>
  <si>
    <t xml:space="preserve">Date of return submission</t>
  </si>
  <si>
    <t xml:space="preserve">Seal of Tax Office</t>
  </si>
  <si>
    <t xml:space="preserve">Signature and seal of the official receiving the return</t>
  </si>
  <si>
    <r>
      <rPr>
        <sz val="10.5"/>
        <color rgb="FF000000"/>
        <rFont val="Times New Roman"/>
        <family val="0"/>
        <charset val="1"/>
      </rPr>
      <t xml:space="preserve">Please Visit: "</t>
    </r>
    <r>
      <rPr>
        <b val="true"/>
        <sz val="10.5"/>
        <color rgb="FF000000"/>
        <rFont val="Times New Roman"/>
        <family val="0"/>
        <charset val="1"/>
      </rPr>
      <t xml:space="preserve">https://etaxnbr.gov.bd</t>
    </r>
    <r>
      <rPr>
        <sz val="10.5"/>
        <color rgb="FF000000"/>
        <rFont val="Times New Roman"/>
        <family val="0"/>
        <charset val="1"/>
      </rPr>
      <t xml:space="preserve">" website to get Income Tax Certificate in Online</t>
    </r>
  </si>
  <si>
    <t xml:space="preserve">www.nbr.gov.bd</t>
  </si>
  <si>
    <t xml:space="preserve">IT-11GA 2023</t>
  </si>
  <si>
    <t xml:space="preserve">For office use</t>
  </si>
  <si>
    <t xml:space="preserve">Return of Income</t>
  </si>
  <si>
    <t xml:space="preserve">for Individual Taxpayer</t>
  </si>
  <si>
    <t xml:space="preserve">1</t>
  </si>
  <si>
    <t xml:space="preserve">2</t>
  </si>
  <si>
    <t xml:space="preserve">3</t>
  </si>
  <si>
    <t xml:space="preserve">4</t>
  </si>
  <si>
    <t xml:space="preserve">(a) Circle:</t>
  </si>
  <si>
    <t xml:space="preserve">(b) Tax Zone:</t>
  </si>
  <si>
    <t xml:space="preserve">5</t>
  </si>
  <si>
    <t xml:space="preserve">Asssessment Year:</t>
  </si>
  <si>
    <t xml:space="preserve">6 Resident Status:</t>
  </si>
  <si>
    <t xml:space="preserve">7</t>
  </si>
  <si>
    <t xml:space="preserve">Tick on the box below for getting special benefit:</t>
  </si>
  <si>
    <t xml:space="preserve">A gazetted war-wounded freedom fighter</t>
  </si>
  <si>
    <t xml:space="preserve">Third Gender</t>
  </si>
  <si>
    <t xml:space="preserve">Disabled person</t>
  </si>
  <si>
    <t xml:space="preserve">Aged 65 years or more</t>
  </si>
  <si>
    <t xml:space="preserve">A parent or legal guardian of a person with disability</t>
  </si>
  <si>
    <t xml:space="preserve">8</t>
  </si>
  <si>
    <t xml:space="preserve">Date of birth (DDMMYYYY)</t>
  </si>
  <si>
    <t xml:space="preserve">9</t>
  </si>
  <si>
    <t xml:space="preserve">Name of Spouse:</t>
  </si>
  <si>
    <t xml:space="preserve">TIN if Spouse is an Assessee:</t>
  </si>
  <si>
    <t xml:space="preserve">10</t>
  </si>
  <si>
    <t xml:space="preserve">Address:</t>
  </si>
  <si>
    <t xml:space="preserve">Telephone:</t>
  </si>
  <si>
    <t xml:space="preserve">Mobile:</t>
  </si>
  <si>
    <t xml:space="preserve">e-mail:</t>
  </si>
  <si>
    <t xml:space="preserve">11</t>
  </si>
  <si>
    <t xml:space="preserve">Name of Employing Institution in case of Employed Taxpayer</t>
  </si>
  <si>
    <t xml:space="preserve">(Latest institution name in case of multiple institution):</t>
  </si>
  <si>
    <t xml:space="preserve">12</t>
  </si>
  <si>
    <t xml:space="preserve">(a) Name of Organizaion:</t>
  </si>
  <si>
    <t xml:space="preserve">(b) Business Identification Number (BIN):</t>
  </si>
  <si>
    <t xml:space="preserve">13</t>
  </si>
  <si>
    <t xml:space="preserve">Name &amp; TIN of Partners/Members in case of Frim/Association of person (If needed, please use separate sheet):</t>
  </si>
  <si>
    <t xml:space="preserve">Page 1 of 3</t>
  </si>
  <si>
    <t xml:space="preserve">Particulars of Income and Tax during the income year ended on</t>
  </si>
  <si>
    <t xml:space="preserve">Particulars of Total Income</t>
  </si>
  <si>
    <t xml:space="preserve">Income from Salaries (annex Schedule 1)</t>
  </si>
  <si>
    <t xml:space="preserve">ITA-32</t>
  </si>
  <si>
    <t xml:space="preserve">Income from Rent (annex Schedule 2)</t>
  </si>
  <si>
    <t xml:space="preserve">ITA-36</t>
  </si>
  <si>
    <t xml:space="preserve">Agricultural income (annex Schedule 3)</t>
  </si>
  <si>
    <t xml:space="preserve">ITA-40</t>
  </si>
  <si>
    <t xml:space="preserve">Income from business (annex Schedule 4)</t>
  </si>
  <si>
    <t xml:space="preserve">ITA-45</t>
  </si>
  <si>
    <t xml:space="preserve">ITA-57</t>
  </si>
  <si>
    <t xml:space="preserve">6</t>
  </si>
  <si>
    <t xml:space="preserve">Income from Financial Assets (Bank interest/profit, Dividend, Securities etc.)</t>
  </si>
  <si>
    <t xml:space="preserve">ITA-62</t>
  </si>
  <si>
    <t xml:space="preserve">Income from other sources (Royalty, License fee, Honorarium, Fees, Govt. Incentive etc.)</t>
  </si>
  <si>
    <t xml:space="preserve">ITA-67</t>
  </si>
  <si>
    <t xml:space="preserve">Income of minor or spouse under section (if not assessee)</t>
  </si>
  <si>
    <t xml:space="preserve">ITA-31</t>
  </si>
  <si>
    <t xml:space="preserve">Total income (aggregate of 1 to 10)</t>
  </si>
  <si>
    <t xml:space="preserve">Tax Computation</t>
  </si>
  <si>
    <t xml:space="preserve">Amount Tk.</t>
  </si>
  <si>
    <t xml:space="preserve">Gross tax on taxable Income</t>
  </si>
  <si>
    <t xml:space="preserve">Tax rebate (annex Schedule 5)</t>
  </si>
  <si>
    <t xml:space="preserve">14</t>
  </si>
  <si>
    <t xml:space="preserve">Net tax after tax rebate (12-13)</t>
  </si>
  <si>
    <t xml:space="preserve">15</t>
  </si>
  <si>
    <t xml:space="preserve">16</t>
  </si>
  <si>
    <t xml:space="preserve">Tax Payable (Higher of 14 and 15)</t>
  </si>
  <si>
    <t xml:space="preserve">(a) Net wealth surcharge (if applicable)</t>
  </si>
  <si>
    <t xml:space="preserve">17</t>
  </si>
  <si>
    <t xml:space="preserve">(b) Environmental surcharge (if applicable)</t>
  </si>
  <si>
    <t xml:space="preserve">18</t>
  </si>
  <si>
    <t xml:space="preserve">Delay Interest, Penalty or any other amount under the Income Tax Act (if any)</t>
  </si>
  <si>
    <t xml:space="preserve">19</t>
  </si>
  <si>
    <t xml:space="preserve">Total amount payable (16+17+18)</t>
  </si>
  <si>
    <t xml:space="preserve">Page 2 of 3</t>
  </si>
  <si>
    <t xml:space="preserve">Particulars of Tax Payment</t>
  </si>
  <si>
    <t xml:space="preserve">20</t>
  </si>
  <si>
    <t xml:space="preserve">Tax deducted or collected at source (attach proof)</t>
  </si>
  <si>
    <t xml:space="preserve">21</t>
  </si>
  <si>
    <t xml:space="preserve">Advance tax paid (attach proof)</t>
  </si>
  <si>
    <t xml:space="preserve">22</t>
  </si>
  <si>
    <t xml:space="preserve">Adjustment of tax refund [mention assessment year(s) of refund]</t>
  </si>
  <si>
    <t xml:space="preserve">23</t>
  </si>
  <si>
    <t xml:space="preserve">Amount paid with return (attach proof)</t>
  </si>
  <si>
    <t xml:space="preserve">24</t>
  </si>
  <si>
    <t xml:space="preserve">Total amount paid and adjusted (20+21+22+23)</t>
  </si>
  <si>
    <t xml:space="preserve">25</t>
  </si>
  <si>
    <t xml:space="preserve">Deficit or excess</t>
  </si>
  <si>
    <t xml:space="preserve">26</t>
  </si>
  <si>
    <t xml:space="preserve">Tax exempted/Tax free income</t>
  </si>
  <si>
    <t xml:space="preserve">List of documents furnished with this Return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</si>
  <si>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</si>
  <si>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</si>
  <si>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</si>
  <si>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</si>
  <si>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</si>
  <si>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</si>
  <si>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</si>
  <si>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Verification</t>
  </si>
  <si>
    <t xml:space="preserve">I,</t>
  </si>
  <si>
    <t xml:space="preserve">/Husband,</t>
  </si>
  <si>
    <t xml:space="preserve">solemnly declare that to the best of my knowledge and belief the information given in this return and statements and</t>
  </si>
  <si>
    <t xml:space="preserve">documents annexed or attached herewith are correct and complete.</t>
  </si>
  <si>
    <t xml:space="preserve">Place:</t>
  </si>
  <si>
    <t xml:space="preserve">Signature</t>
  </si>
  <si>
    <t xml:space="preserve">Date:</t>
  </si>
  <si>
    <t xml:space="preserve">Designatiom &amp; Seal (for other than individual)</t>
  </si>
  <si>
    <t xml:space="preserve">Page 3 of 3</t>
  </si>
  <si>
    <t xml:space="preserve">Schedule 1</t>
  </si>
  <si>
    <t xml:space="preserve">Particulars of income from Salaries</t>
  </si>
  <si>
    <t xml:space="preserve">a. This part is applicable for employees receiving Salary under Govt. pay scale</t>
  </si>
  <si>
    <t xml:space="preserve">SL.</t>
  </si>
  <si>
    <t xml:space="preserve">Particulars</t>
  </si>
  <si>
    <t xml:space="preserve">Income</t>
  </si>
  <si>
    <t xml:space="preserve">Tk</t>
  </si>
  <si>
    <t xml:space="preserve">Tax exempted</t>
  </si>
  <si>
    <t xml:space="preserve">Taxable Income</t>
  </si>
  <si>
    <t xml:space="preserve">Arrear pay (if not included in taxable</t>
  </si>
  <si>
    <t xml:space="preserve">income earlier)</t>
  </si>
  <si>
    <t xml:space="preserve">Festival Allowance</t>
  </si>
  <si>
    <t xml:space="preserve">Honorarium/ Reward/Fee</t>
  </si>
  <si>
    <t xml:space="preserve">Baishakhi Allowance</t>
  </si>
  <si>
    <t xml:space="preserve">Others, if any</t>
  </si>
  <si>
    <t xml:space="preserve">Total</t>
  </si>
  <si>
    <t xml:space="preserve">b. This part is applicable for employees other than employees receiving Salary under Govt. pay scale</t>
  </si>
  <si>
    <t xml:space="preserve">Advance Salary</t>
  </si>
  <si>
    <t xml:space="preserve">Gratuity, Annuity, Pension or similar benefits</t>
  </si>
  <si>
    <t xml:space="preserve">in lieu of or in addition to salary or wages</t>
  </si>
  <si>
    <t xml:space="preserve">Income from Employees' share scheme</t>
  </si>
  <si>
    <t xml:space="preserve">Accomodation benefits</t>
  </si>
  <si>
    <t xml:space="preserve">Car benefits</t>
  </si>
  <si>
    <t xml:space="preserve">Any other benefits provided by employer</t>
  </si>
  <si>
    <t xml:space="preserve">Employer's contribution to recognized provident fund</t>
  </si>
  <si>
    <t xml:space="preserve">Total salary income (aggregate of 1 to 12)</t>
  </si>
  <si>
    <t xml:space="preserve">Exempted Salary (As per 6th schedule Part 1)</t>
  </si>
  <si>
    <t xml:space="preserve">Total Income from Salary (13-14)</t>
  </si>
  <si>
    <t xml:space="preserve">Schedule 2</t>
  </si>
  <si>
    <t xml:space="preserve">(Annex this Schedule to the return of income if you have income from house property)</t>
  </si>
  <si>
    <t xml:space="preserve">Location and Description of</t>
  </si>
  <si>
    <t xml:space="preserve">Total Rent Income Computation</t>
  </si>
  <si>
    <t xml:space="preserve">৳</t>
  </si>
  <si>
    <t xml:space="preserve">property</t>
  </si>
  <si>
    <t xml:space="preserve">Rent receipt or Annual Value (whichever is higher)</t>
  </si>
  <si>
    <t xml:space="preserve">Advance rent receipts</t>
  </si>
  <si>
    <t xml:space="preserve">Value of any benefits (in addition to 1 &amp; 2)</t>
  </si>
  <si>
    <t xml:space="preserve">Vacancy Allowance</t>
  </si>
  <si>
    <t xml:space="preserve">Total Rent Income (1+2+3)-4-5</t>
  </si>
  <si>
    <t xml:space="preserve">Allowable Deductions</t>
  </si>
  <si>
    <t xml:space="preserve">(a)</t>
  </si>
  <si>
    <t xml:space="preserve">Repair, Collection, etc.</t>
  </si>
  <si>
    <t xml:space="preserve">(b)</t>
  </si>
  <si>
    <t xml:space="preserve">Municipal or Local Tax</t>
  </si>
  <si>
    <t xml:space="preserve">(c)</t>
  </si>
  <si>
    <t xml:space="preserve">Land Revenue</t>
  </si>
  <si>
    <t xml:space="preserve">(d)</t>
  </si>
  <si>
    <t xml:space="preserve">Interest on Loan/Mortgage/Capital Charge</t>
  </si>
  <si>
    <t xml:space="preserve">(e)</t>
  </si>
  <si>
    <t xml:space="preserve">Insurance Premium</t>
  </si>
  <si>
    <t xml:space="preserve">(f)</t>
  </si>
  <si>
    <t xml:space="preserve">Other, if any</t>
  </si>
  <si>
    <t xml:space="preserve">Total Admissible deductions</t>
  </si>
  <si>
    <t xml:space="preserve">Income from house property (06-08)</t>
  </si>
  <si>
    <t xml:space="preserve">Incase of partial ownership, the share of income</t>
  </si>
  <si>
    <t xml:space="preserve">Schedule 3</t>
  </si>
  <si>
    <t xml:space="preserve">(This part is applicable for Agricultural income)</t>
  </si>
  <si>
    <t xml:space="preserve">Nature of Agriculture:</t>
  </si>
  <si>
    <t xml:space="preserve">Summary of Income</t>
  </si>
  <si>
    <t xml:space="preserve">Sale/Turnover/Receipts</t>
  </si>
  <si>
    <t xml:space="preserve">Gross Profit</t>
  </si>
  <si>
    <t xml:space="preserve">General Expenses, Selling Expenses, Land Revenue, Rates, Interest of Loan, Insurance</t>
  </si>
  <si>
    <t xml:space="preserve">Premium and Other expenses</t>
  </si>
  <si>
    <t xml:space="preserve">Net profit (2 minus 3)</t>
  </si>
  <si>
    <t xml:space="preserve">Schedule 4</t>
  </si>
  <si>
    <t xml:space="preserve">(To be annexed to return by an assessee having income from business or profession)</t>
  </si>
  <si>
    <t xml:space="preserve">Name of Business/Profession:</t>
  </si>
  <si>
    <t xml:space="preserve">Nature of Business/Profession:</t>
  </si>
  <si>
    <t xml:space="preserve">General, Administrative, Selling and Other expenses</t>
  </si>
  <si>
    <t xml:space="preserve">Bad debt expense</t>
  </si>
  <si>
    <t xml:space="preserve">Net profit (2-3-4)</t>
  </si>
  <si>
    <t xml:space="preserve">Summary of Balance Sheet</t>
  </si>
  <si>
    <t xml:space="preserve">Cash and Bank balance</t>
  </si>
  <si>
    <t xml:space="preserve">Fixed Assets</t>
  </si>
  <si>
    <t xml:space="preserve">Other Assets</t>
  </si>
  <si>
    <t xml:space="preserve">Total Assets</t>
  </si>
  <si>
    <t xml:space="preserve">Opening Capital</t>
  </si>
  <si>
    <t xml:space="preserve">Drawing during the income year</t>
  </si>
  <si>
    <t xml:space="preserve">Closing Capital (11+12-13)</t>
  </si>
  <si>
    <t xml:space="preserve">Total Capital &amp; Liabilities</t>
  </si>
  <si>
    <t xml:space="preserve">Schedule 5</t>
  </si>
  <si>
    <t xml:space="preserve">To be annexed to return by an assessee claiming investment tax credit (attach proof)</t>
  </si>
  <si>
    <t xml:space="preserve">Particulars of rebatable investment, contribution, etc.</t>
  </si>
  <si>
    <t xml:space="preserve">Particulars of Income</t>
  </si>
  <si>
    <t xml:space="preserve">Life insurance premium or Contractual "Deferred Annuity" paid in Bangladesh</t>
  </si>
  <si>
    <t xml:space="preserve">Contribution to deposit pension/Monthly Saving scheme (not exceeding allowable limit)</t>
  </si>
  <si>
    <t xml:space="preserve">Investment in Govt. securities, Unit certificate, Mutual fund, ETF or Joint investment scheme Unit certificate</t>
  </si>
  <si>
    <t xml:space="preserve">Investment in securities listed with approved Stock Exchange</t>
  </si>
  <si>
    <t xml:space="preserve">Contribution to provident fund to which Provident Fund</t>
  </si>
  <si>
    <t xml:space="preserve">Act, 1925 applies</t>
  </si>
  <si>
    <t xml:space="preserve">Self contribution and employer’s contribution to Recognized Provident Fund</t>
  </si>
  <si>
    <t xml:space="preserve">Contribution to approved Pension Fund</t>
  </si>
  <si>
    <t xml:space="preserve">Contribution to Benevolent Fund and Group Insurance Premium</t>
  </si>
  <si>
    <t xml:space="preserve">Contribution to Zakat Fund</t>
  </si>
  <si>
    <t xml:space="preserve">Others, if any (Share Purchase)</t>
  </si>
  <si>
    <t xml:space="preserve">Total invetment (aggregate of 1 to 10)</t>
  </si>
  <si>
    <t xml:space="preserve">Amount of Tax Rebate</t>
  </si>
  <si>
    <t xml:space="preserve">IT-10 BB (2023)</t>
  </si>
  <si>
    <t xml:space="preserve">Statement of expenses relating to Lifestyle</t>
  </si>
  <si>
    <t xml:space="preserve">(applicable for all Individual Assessee)</t>
  </si>
  <si>
    <t xml:space="preserve">Sl.</t>
  </si>
  <si>
    <t xml:space="preserve">Particulars of Expenses (Annual)</t>
  </si>
  <si>
    <t xml:space="preserve">Comments</t>
  </si>
  <si>
    <t xml:space="preserve">Expenses for food, clothing and other essentials</t>
  </si>
  <si>
    <t xml:space="preserve">Housing expense</t>
  </si>
  <si>
    <t xml:space="preserve">Personal Transport Expenses</t>
  </si>
  <si>
    <t xml:space="preserve">Utility expenses (Electric bill, Gas, Water, Telephone, Mobile, Internet etc.)</t>
  </si>
  <si>
    <t xml:space="preserve">Education Expenses</t>
  </si>
  <si>
    <t xml:space="preserve">Personal Expenses for local &amp; foreign travel, vacation etc.</t>
  </si>
  <si>
    <t xml:space="preserve">Festival and Other special expenses</t>
  </si>
  <si>
    <t xml:space="preserve">Tax deducted/collected at source (with tax deducted from profit of saving</t>
  </si>
  <si>
    <t xml:space="preserve">certificate) and tax &amp; surcharge paid based on last year tax return)</t>
  </si>
  <si>
    <t xml:space="preserve">Interest paid on personal loan received from Institution &amp; other source</t>
  </si>
  <si>
    <t xml:space="preserve">(Financial Expenses)</t>
  </si>
  <si>
    <t xml:space="preserve">I declare that to the best of my knowledge and belief the information given in this IT-10BB (2023) herewith are</t>
  </si>
  <si>
    <t xml:space="preserve">correct and complete.</t>
  </si>
  <si>
    <t xml:space="preserve">Signature &amp; Date</t>
  </si>
  <si>
    <t xml:space="preserve">IT-10 B (2023)</t>
  </si>
  <si>
    <t xml:space="preserve">Statement of Assets, Liabilities and Expenses</t>
  </si>
  <si>
    <t xml:space="preserve">as on</t>
  </si>
  <si>
    <t xml:space="preserve">To Whom It May Concern</t>
  </si>
  <si>
    <t xml:space="preserve">All Public Servant</t>
  </si>
  <si>
    <t xml:space="preserve">If the amount of total asset in home and abroad exceeds Taka 40,00,000.</t>
  </si>
  <si>
    <t xml:space="preserve">The amount of total asset does not exceed Taka 40,00,000 but owns a motor car in any time or has made an</t>
  </si>
  <si>
    <t xml:space="preserve">investment in a house property or an apartment in the city corporation area or owns assets outside</t>
  </si>
  <si>
    <t xml:space="preserve">Bangladesh or being a shareholder director of a company.</t>
  </si>
  <si>
    <t xml:space="preserve">Every</t>
  </si>
  <si>
    <t xml:space="preserve">individual</t>
  </si>
  <si>
    <t xml:space="preserve">assessee,</t>
  </si>
  <si>
    <t xml:space="preserve">being</t>
  </si>
  <si>
    <t xml:space="preserve">a</t>
  </si>
  <si>
    <t xml:space="preserve">non-resident</t>
  </si>
  <si>
    <t xml:space="preserve">Bangladeshi</t>
  </si>
  <si>
    <t xml:space="preserve">and</t>
  </si>
  <si>
    <t xml:space="preserve">non-</t>
  </si>
  <si>
    <t xml:space="preserve">Bangladeshi, shall submit the statement only in respect of assets located in Bangladesh.</t>
  </si>
  <si>
    <t xml:space="preserve">Sources of fund:</t>
  </si>
  <si>
    <t xml:space="preserve">Total income shown in return (sl. no.11 of state. of total income) Tk.</t>
  </si>
  <si>
    <t xml:space="preserve">Tax Exempted Income</t>
  </si>
  <si>
    <t xml:space="preserve">Receipt of Gift and others:</t>
  </si>
  <si>
    <t xml:space="preserve">Total Sources of fund</t>
  </si>
  <si>
    <t xml:space="preserve">Net wealth at the last date of the previous income year</t>
  </si>
  <si>
    <t xml:space="preserve">Sum of Source of fund and net wealth at the last date of the previous income year (2+3)</t>
  </si>
  <si>
    <t xml:space="preserve">Expenses relating to Lifestyle (as per IT-10BB)</t>
  </si>
  <si>
    <t xml:space="preserve">Gift/Expenses/Loss not mentioned in IT-10BB</t>
  </si>
  <si>
    <t xml:space="preserve">Total Expenses and Loss</t>
  </si>
  <si>
    <t xml:space="preserve">Net wealth at the last date of this financial year</t>
  </si>
  <si>
    <t xml:space="preserve">(3-4)</t>
  </si>
  <si>
    <t xml:space="preserve">Personal liabilities outside business</t>
  </si>
  <si>
    <t xml:space="preserve">Other liabilities (Parents &amp; Brother)</t>
  </si>
  <si>
    <t xml:space="preserve">Total liabilities outside business</t>
  </si>
  <si>
    <t xml:space="preserve">(5+6)</t>
  </si>
  <si>
    <t xml:space="preserve">* if needed attach separate sheet</t>
  </si>
  <si>
    <t xml:space="preserve">Page-1 of 2</t>
  </si>
  <si>
    <t xml:space="preserve">Name:</t>
  </si>
  <si>
    <t xml:space="preserve">TIN</t>
  </si>
  <si>
    <t xml:space="preserve">Particular of assets</t>
  </si>
  <si>
    <t xml:space="preserve">Aggregate Business capital and liabilities</t>
  </si>
  <si>
    <t xml:space="preserve">Less: Business liabilities</t>
  </si>
  <si>
    <t xml:space="preserve">(Annexure-A)</t>
  </si>
  <si>
    <t xml:space="preserve">Business Capital Other than Director's Shareholdings in Limited Companies</t>
  </si>
  <si>
    <t xml:space="preserve">Non-agricultural property/land/building (cost price with legal exp./acquired price/building cost/invetment)</t>
  </si>
  <si>
    <t xml:space="preserve">Description, location and size of agricultural property.</t>
  </si>
  <si>
    <t xml:space="preserve">(Annexure-B)</t>
  </si>
  <si>
    <t xml:space="preserve">Agricultural property (cost price/acquired price)</t>
  </si>
  <si>
    <t xml:space="preserve">Description, location and size of agricultural property</t>
  </si>
  <si>
    <t xml:space="preserve">(i)</t>
  </si>
  <si>
    <t xml:space="preserve">Debenture/Bond/Securities/Unit Certificate etc.</t>
  </si>
  <si>
    <t xml:space="preserve">(ii) Sanchayapatra/Deposit Pension Scheme</t>
  </si>
  <si>
    <t xml:space="preserve">(iii)Life insurance</t>
  </si>
  <si>
    <t xml:space="preserve">(iv) Loan given (Relatives)</t>
  </si>
  <si>
    <t xml:space="preserve">(Mention name and TIN of loan receiver)</t>
  </si>
  <si>
    <t xml:space="preserve">(iv) Fixed Deposit/Term Deposit</t>
  </si>
  <si>
    <t xml:space="preserve">(v) Provident Fund or Other Fund (if any)</t>
  </si>
  <si>
    <t xml:space="preserve">(vi) Other investment</t>
  </si>
  <si>
    <t xml:space="preserve">Total Financial assets</t>
  </si>
  <si>
    <t xml:space="preserve">(g)</t>
  </si>
  <si>
    <t xml:space="preserve">Motor car(s) (cost value)</t>
  </si>
  <si>
    <t xml:space="preserve">Mention type of motor vehicle and Registtration number</t>
  </si>
  <si>
    <t xml:space="preserve">(h)</t>
  </si>
  <si>
    <t xml:space="preserve">Ornaments (mention quantity)</t>
  </si>
  <si>
    <t xml:space="preserve">Furniture and electronic items</t>
  </si>
  <si>
    <t xml:space="preserve">(j)</t>
  </si>
  <si>
    <t xml:space="preserve">Other assets (except assets mentioned in sl. k)</t>
  </si>
  <si>
    <t xml:space="preserve">(k)</t>
  </si>
  <si>
    <t xml:space="preserve">Cash, Bank and fund outside business</t>
  </si>
  <si>
    <t xml:space="preserve">I declare that to the best of my knowledge and belief the information given in this IT-10B (2023) herewith</t>
  </si>
  <si>
    <t xml:space="preserve">are correct and complete.</t>
  </si>
  <si>
    <t xml:space="preserve">Name of Assessee &amp; Signature</t>
  </si>
  <si>
    <t xml:space="preserve">Page 2 of 2</t>
  </si>
  <si>
    <t xml:space="preserve">Tax calculation</t>
  </si>
  <si>
    <t xml:space="preserve">For the year ended on</t>
  </si>
  <si>
    <t xml:space="preserve">A.</t>
  </si>
  <si>
    <t xml:space="preserve">Total taxable income as per return</t>
  </si>
  <si>
    <t xml:space="preserve">Less: Sanchayapatra</t>
  </si>
  <si>
    <t xml:space="preserve">(ITA-105)</t>
  </si>
  <si>
    <t xml:space="preserve">B.</t>
  </si>
  <si>
    <t xml:space="preserve">Calculation of Tax:</t>
  </si>
  <si>
    <t xml:space="preserve">Tax</t>
  </si>
  <si>
    <t xml:space="preserve">On First slab</t>
  </si>
  <si>
    <t xml:space="preserve">On Next slab</t>
  </si>
  <si>
    <t xml:space="preserve">On the Rest Income</t>
  </si>
  <si>
    <t xml:space="preserve">C.</t>
  </si>
  <si>
    <t xml:space="preserve">Calculation of Tax Rebate:</t>
  </si>
  <si>
    <t xml:space="preserve">i</t>
  </si>
  <si>
    <t xml:space="preserve">3% on total income</t>
  </si>
  <si>
    <t xml:space="preserve">ii</t>
  </si>
  <si>
    <t xml:space="preserve">15% on actual investment (Schedule-5)</t>
  </si>
  <si>
    <t xml:space="preserve">iii Maximum 10 Lac</t>
  </si>
  <si>
    <t xml:space="preserve">Tax Rebate (Lower of i, ii and iii)</t>
  </si>
  <si>
    <t xml:space="preserve">D.</t>
  </si>
  <si>
    <t xml:space="preserve">Net Tax Payable (B-C)</t>
  </si>
  <si>
    <t xml:space="preserve">E.</t>
  </si>
  <si>
    <t xml:space="preserve">Minimum Tax</t>
  </si>
  <si>
    <t xml:space="preserve">Minimum tax as per Finance Act 2023</t>
  </si>
  <si>
    <t xml:space="preserve">Minimum tax U/S-163(2)Kha of ITA 2023</t>
  </si>
  <si>
    <t xml:space="preserve">iii</t>
  </si>
  <si>
    <t xml:space="preserve">Minimum tax U/S-163(5)Ka of ITA 2023</t>
  </si>
  <si>
    <t xml:space="preserve">Minimum Tax (Higher of i, ii and iii)</t>
  </si>
  <si>
    <t xml:space="preserve">F.</t>
  </si>
  <si>
    <t xml:space="preserve">Tax Payable (Higher of D &amp; E)</t>
  </si>
  <si>
    <t xml:space="preserve">G.</t>
  </si>
  <si>
    <t xml:space="preserve">Surcharge &amp; Penalty</t>
  </si>
  <si>
    <t xml:space="preserve">Surcharge</t>
  </si>
  <si>
    <t xml:space="preserve">Delay interest, Penalty and other charge</t>
  </si>
  <si>
    <t xml:space="preserve">H</t>
  </si>
  <si>
    <t xml:space="preserve">Final Tax</t>
  </si>
  <si>
    <t xml:space="preserve">Sanchayapatra</t>
  </si>
  <si>
    <t xml:space="preserve">I.</t>
  </si>
  <si>
    <t xml:space="preserve">Total Payable (F + G)</t>
  </si>
  <si>
    <t xml:space="preserve">J.</t>
  </si>
  <si>
    <t xml:space="preserve">Tax Paid:</t>
  </si>
  <si>
    <t xml:space="preserve">Remuneration</t>
  </si>
  <si>
    <t xml:space="preserve">AIT from Sanchayapatra</t>
  </si>
  <si>
    <t xml:space="preserve">AIT against WPPF</t>
  </si>
  <si>
    <t xml:space="preserve">AIT against Car</t>
  </si>
  <si>
    <t xml:space="preserve">AIT against Bank Interest</t>
  </si>
  <si>
    <t xml:space="preserve">(ITA-102)</t>
  </si>
  <si>
    <t xml:space="preserve">Refund (Past Assessment Year)</t>
  </si>
  <si>
    <t xml:space="preserve">Advance Tax paid by treasury Challan</t>
  </si>
  <si>
    <t xml:space="preserve">K.</t>
  </si>
  <si>
    <t xml:space="preserve">Balance Tax Payable/refundable</t>
  </si>
  <si>
    <t xml:space="preserve">Tax Paid During Return Submission by A-Challan</t>
  </si>
  <si>
    <t xml:space="preserve">A-Chalan Number:</t>
  </si>
  <si>
    <t xml:space="preserve">Net Tax Payable/(Refundable)</t>
  </si>
  <si>
    <t xml:space="preserve">Tax Free Income (Exempted)</t>
  </si>
  <si>
    <t xml:space="preserve">SL</t>
  </si>
  <si>
    <t xml:space="preserve">Particulars of Tax Free Income</t>
  </si>
  <si>
    <t xml:space="preserve">Other Than Employees Receiving Salary Under Govt. Pay Scale (1/3)</t>
  </si>
  <si>
    <t xml:space="preserve">Up To Tk 2 Crore 50 Lakh Received By The Taxpayer From The Govt. Provident Fund</t>
  </si>
  <si>
    <t xml:space="preserve">Income Distributed To Their Beneficiaries, Which Has Already Been Taxed</t>
  </si>
  <si>
    <t xml:space="preserve">Income arising to any Provident Fund (Act-1925)</t>
  </si>
  <si>
    <t xml:space="preserve">Under Any Scheme Approved By The Govt For This Purpose During Voluntary Retirement</t>
  </si>
  <si>
    <t xml:space="preserve">Pensioners' Savings Certificates (Up To A Maximum Of Tk. 5 Lakhs)</t>
  </si>
  <si>
    <t xml:space="preserve">Share Of Income Received As Part Of Capital Income On Which Tax Is Paid By That Firm</t>
  </si>
  <si>
    <t xml:space="preserve">08</t>
  </si>
  <si>
    <t xml:space="preserve">As A Member Of A Hindu Undivided Family, On Which Tax Is Paid By That Family</t>
  </si>
  <si>
    <t xml:space="preserve">09</t>
  </si>
  <si>
    <t xml:space="preserve">Foreign Remittance</t>
  </si>
  <si>
    <t xml:space="preserve">Income Received By A Taxpayer From A Wage Earners Development Fund</t>
  </si>
  <si>
    <t xml:space="preserve">Income from Bandarban, Khagrachari &amp; Rangamati.</t>
  </si>
  <si>
    <t xml:space="preserve">Agricultural income (20 Thousand &amp; 2 Lac)</t>
  </si>
  <si>
    <t xml:space="preserve">Income From Software and IT Business (30 June 2024)</t>
  </si>
  <si>
    <t xml:space="preserve">Export Income from Handicrafts (30 June 2024)</t>
  </si>
  <si>
    <t xml:space="preserve">Income from small and medium industries (ATO Tk 50 Lakh; Female Tk 70 Lakh)</t>
  </si>
  <si>
    <t xml:space="preserve">Income Derived From Zero Coupon Bonds (Subject to Condition)</t>
  </si>
  <si>
    <t xml:space="preserve">Pension received or due by the taxpayer from the Government Pension Fund</t>
  </si>
  <si>
    <t xml:space="preserve">Welfare Allowance From Government / Muktijhoddha Kallyan Trust</t>
  </si>
  <si>
    <t xml:space="preserve">Any Award Money From The Government</t>
  </si>
  <si>
    <t xml:space="preserve">Income From Management Of Briddhashram</t>
  </si>
  <si>
    <t xml:space="preserve">If The Seagoing Bangladeshi Flagged Ship Brings Foreign Currency</t>
  </si>
  <si>
    <t xml:space="preserve">Other Exemption Under 6th Schedule Part 1</t>
  </si>
  <si>
    <t xml:space="preserve">Total Tax Exempted/Tax Free Income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</si>
</sst>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@"/>
    <numFmt numFmtId="167" formatCode="dd/mm/yyyy"/>
    <numFmt numFmtId="168" formatCode="#,##0"/>
    <numFmt numFmtId="169" formatCode="0%"/>
    <numFmt numFmtId="170" formatCode="0.0000"/>
    <numFmt numFmtId="171" formatCode="0"/>
    <numFmt numFmtId="172" formatCode="_(* #,##0_);_(* \(#,##0\);_(* \-_0_0_);_(@_)"/>
    <numFmt numFmtId="173" formatCode="_(* #,##0_);_(* \(#,##0\);_(* \-_0;_(@_)"/>
    <numFmt numFmtId="174" formatCode="_(* #,##0_);_(* \(#,##0\);_(* \-_);_(@_)"/>
    <numFmt numFmtId="175" formatCode="_(* #,##0_);_(* \(#,##0\);_(* \-_0_0_0;_(@_)"/>
    <numFmt numFmtId="176" formatCode="_(* #,##0;_(* \(#,##0\);_(* \-_0_);_(@_)"/>
  </numFmts>
  <fonts count="45">
    <font>
      <sz val="12"/>
      <name val="Times New Roman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6A4E"/>
      <name val="Times New Roman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6A4E"/>
      <name val="Times New Roman"/>
      <family val="0"/>
      <charset val="1"/>
    </font>
    <font>
      <sz val="9"/>
      <color rgb="FF5D6B64"/>
      <name val="Arial"/>
      <family val="0"/>
      <charset val="1"/>
    </font>
    <font>
      <sz val="10"/>
      <color rgb="FF006A4E"/>
      <name val="Arial"/>
      <family val="0"/>
      <charset val="1"/>
    </font>
    <font>
      <sz val="10"/>
      <color rgb="FFB3261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6A4E"/>
      <name val="Times New Roman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sz val="10.5"/>
      <color rgb="FF000000"/>
      <name val="Times New Roman"/>
      <family val="0"/>
      <charset val="1"/>
    </font>
    <font>
      <b val="true"/>
      <sz val="10.5"/>
      <color rgb="FF000000"/>
      <name val="Times New Roman"/>
      <family val="0"/>
      <charset val="1"/>
    </font>
    <font>
      <b val="true"/>
      <u val="single"/>
      <sz val="10.5"/>
      <color rgb="FF000000"/>
      <name val="Times New Roman"/>
      <family val="0"/>
      <charset val="1"/>
    </font>
    <font>
      <b val="true"/>
      <sz val="11.5"/>
      <color rgb="FF000000"/>
      <name val="Times New Roman"/>
      <family val="0"/>
      <charset val="1"/>
    </font>
    <font>
      <b val="true"/>
      <sz val="13.5"/>
      <color rgb="FF000000"/>
      <name val="Times New Roman"/>
      <family val="0"/>
      <charset val="1"/>
    </font>
    <font>
      <sz val="10.5"/>
      <color rgb="FF000000"/>
      <name val="MS Gothic"/>
      <family val="0"/>
      <charset val="1"/>
    </font>
    <font>
      <sz val="9.5"/>
      <color rgb="FF000000"/>
      <name val="Times New Roman"/>
      <family val="0"/>
      <charset val="1"/>
    </font>
    <font>
      <sz val="10.5"/>
      <color rgb="FFEEECE1"/>
      <name val="Times New Roman"/>
      <family val="0"/>
      <charset val="1"/>
    </font>
    <font>
      <sz val="9"/>
      <color rgb="FF000000"/>
      <name val="Times New Roman"/>
      <family val="0"/>
      <charset val="1"/>
    </font>
    <font>
      <b val="true"/>
      <sz val="11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rgb="FF000000"/>
      <name val="Times New Roman"/>
      <family val="1"/>
      <charset val="1"/>
    </font>
    <font>
      <sz val="11"/>
      <color rgb="FF000000"/>
      <name val="Arial"/>
      <family val="0"/>
      <charset val="1"/>
    </font>
    <font>
      <sz val="10"/>
      <color rgb="FF000000"/>
      <name val="Times New Roman"/>
      <family val="0"/>
      <charset val="1"/>
    </font>
    <font>
      <b val="true"/>
      <u val="single"/>
      <sz val="11"/>
      <color rgb="FF000000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1"/>
      <color rgb="FFFF0000"/>
      <name val="Times New Roman"/>
      <family val="0"/>
      <charset val="1"/>
    </font>
    <font>
      <sz val="14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2"/>
      <color rgb="FF000000"/>
      <name val="Arial"/>
      <family val="0"/>
      <charset val="1"/>
    </font>
    <font>
      <b val="true"/>
      <u val="singl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D9D9D9"/>
      <name val="Times New Roman"/>
      <family val="0"/>
      <charset val="1"/>
    </font>
    <font>
      <sz val="10"/>
      <color rgb="FF000000"/>
      <name val="Arial"/>
      <family val="0"/>
      <charset val="1"/>
    </font>
    <font>
      <sz val="10"/>
      <color rgb="FFBFBFB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FE7"/>
        <bgColor rgb="FFEEECE1"/>
      </patternFill>
    </fill>
    <fill>
      <patternFill patternType="solid">
        <fgColor rgb="FFFDE9D9"/>
        <bgColor rgb="FFEEECE1"/>
      </patternFill>
    </fill>
    <fill>
      <patternFill patternType="solid">
        <fgColor rgb="FFF2F2F2"/>
        <bgColor rgb="FFEEECE1"/>
      </patternFill>
    </fill>
  </fills>
  <borders count="21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A98F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dotted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15" fillId="0" borderId="0" xfId="0" applyFont="true" applyBorder="true" applyAlignment="true" applyProtection="false">
      <alignment horizontal="distributed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2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2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distributed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73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74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2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3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4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bottom" textRotation="0" wrapText="false" indent="0" shrinkToFit="true"/>
      <protection locked="true" hidden="false"/>
    </xf>
    <xf numFmtId="164" fontId="26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A4E"/>
      <rgbColor rgb="FFBFBFBF"/>
      <rgbColor rgb="FF808080"/>
      <rgbColor rgb="FF9999FF"/>
      <rgbColor rgb="FF993366"/>
      <rgbColor rgb="FFFDE9D9"/>
      <rgbColor rgb="FFDCEF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64"/>
      <rgbColor rgb="FFC9A98F"/>
      <rgbColor rgb="FF003366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5400</xdr:colOff>
      <xdr:row>2</xdr:row>
      <xdr:rowOff>2520</xdr:rowOff>
    </xdr:from>
    <xdr:to>
      <xdr:col>48</xdr:col>
      <xdr:colOff>206640</xdr:colOff>
      <xdr:row>2</xdr:row>
      <xdr:rowOff>885960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091680" y="307440"/>
          <a:ext cx="801000" cy="88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2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1.75"/>
    <col collapsed="false" customWidth="true" hidden="false" outlineLevel="0" max="2" min="2" style="0" width="43.75"/>
    <col collapsed="false" customWidth="true" hidden="false" outlineLevel="0" max="5" min="3" style="0" width="19.25"/>
    <col collapsed="false" customWidth="true" hidden="false" outlineLevel="0" max="6" min="6" style="0" width="56"/>
  </cols>
  <sheetData>
    <row r="1" customFormat="false" ht="24.45" hidden="false" customHeight="false" outlineLevel="0" collapsed="false">
      <c r="B1" s="1" t="s">
        <v>0</v>
      </c>
    </row>
    <row r="2" customFormat="false" ht="27" hidden="false" customHeight="true" outlineLevel="0" collapsed="false">
      <c r="B2" s="2" t="s">
        <v>1</v>
      </c>
      <c r="C2" s="2"/>
      <c r="D2" s="2"/>
      <c r="E2" s="2"/>
      <c r="F2" s="2"/>
    </row>
    <row r="3" customFormat="false" ht="27" hidden="false" customHeight="true" outlineLevel="0" collapsed="false">
      <c r="B3" s="3" t="s">
        <v>2</v>
      </c>
      <c r="C3" s="3"/>
      <c r="D3" s="3"/>
      <c r="E3" s="3"/>
      <c r="F3" s="3"/>
    </row>
    <row r="6" customFormat="false" ht="17.35" hidden="false" customHeight="false" outlineLevel="0" collapsed="false">
      <c r="B6" s="4" t="s">
        <v>3</v>
      </c>
      <c r="F6" s="5" t="s">
        <v>4</v>
      </c>
    </row>
    <row r="7" customFormat="false" ht="15" hidden="false" customHeight="false" outlineLevel="0" collapsed="false">
      <c r="B7" s="6" t="s">
        <v>5</v>
      </c>
      <c r="C7" s="7" t="n">
        <f aca="false">v_r11</f>
        <v>812058</v>
      </c>
    </row>
    <row r="8" customFormat="false" ht="15" hidden="false" customHeight="false" outlineLevel="0" collapsed="false">
      <c r="B8" s="6" t="s">
        <v>6</v>
      </c>
      <c r="C8" s="7" t="n">
        <f aca="false">v_r26</f>
        <v>5308</v>
      </c>
    </row>
    <row r="9" customFormat="false" ht="15" hidden="false" customHeight="false" outlineLevel="0" collapsed="false">
      <c r="B9" s="6" t="s">
        <v>7</v>
      </c>
      <c r="C9" s="7" t="n">
        <f aca="false">v_threshold</f>
        <v>400000</v>
      </c>
    </row>
    <row r="10" customFormat="false" ht="15" hidden="false" customHeight="false" outlineLevel="0" collapsed="false">
      <c r="B10" s="6" t="s">
        <v>8</v>
      </c>
      <c r="C10" s="7" t="n">
        <f aca="false">v_r12</f>
        <v>36206</v>
      </c>
    </row>
    <row r="11" customFormat="false" ht="15" hidden="false" customHeight="false" outlineLevel="0" collapsed="false">
      <c r="B11" s="6" t="s">
        <v>9</v>
      </c>
      <c r="C11" s="7" t="n">
        <f aca="false">v_r13</f>
        <v>0</v>
      </c>
    </row>
    <row r="12" customFormat="false" ht="15" hidden="false" customHeight="false" outlineLevel="0" collapsed="false">
      <c r="B12" s="6" t="s">
        <v>10</v>
      </c>
      <c r="C12" s="7" t="n">
        <f aca="false">v_r15</f>
        <v>5000</v>
      </c>
    </row>
    <row r="13" customFormat="false" ht="15" hidden="false" customHeight="false" outlineLevel="0" collapsed="false">
      <c r="B13" s="6" t="s">
        <v>11</v>
      </c>
      <c r="C13" s="7" t="n">
        <f aca="false">v_r16</f>
        <v>36206</v>
      </c>
    </row>
    <row r="14" customFormat="false" ht="15" hidden="false" customHeight="false" outlineLevel="0" collapsed="false">
      <c r="B14" s="6" t="s">
        <v>12</v>
      </c>
      <c r="C14" s="7" t="n">
        <f aca="false">v_r17+v_r18</f>
        <v>0</v>
      </c>
    </row>
    <row r="15" customFormat="false" ht="15" hidden="false" customHeight="false" outlineLevel="0" collapsed="false">
      <c r="B15" s="8" t="s">
        <v>13</v>
      </c>
      <c r="C15" s="9" t="n">
        <f aca="false">v_r19</f>
        <v>36206</v>
      </c>
    </row>
    <row r="16" customFormat="false" ht="15" hidden="false" customHeight="false" outlineLevel="0" collapsed="false">
      <c r="B16" s="6" t="s">
        <v>14</v>
      </c>
      <c r="C16" s="7" t="n">
        <f aca="false">v_r20+v_r21+v_r22</f>
        <v>0</v>
      </c>
    </row>
    <row r="17" customFormat="false" ht="15" hidden="false" customHeight="false" outlineLevel="0" collapsed="false">
      <c r="B17" s="8" t="s">
        <v>15</v>
      </c>
      <c r="C17" s="10" t="n">
        <f aca="false">v_r23</f>
        <v>36206</v>
      </c>
    </row>
    <row r="18" customFormat="false" ht="15" hidden="false" customHeight="false" outlineLevel="0" collapsed="false">
      <c r="B18" s="6" t="s">
        <v>16</v>
      </c>
      <c r="C18" s="7" t="n">
        <f aca="false">v_r25</f>
        <v>0</v>
      </c>
    </row>
    <row r="19" customFormat="false" ht="15" hidden="false" customHeight="false" outlineLevel="0" collapsed="false">
      <c r="B19" s="6" t="s">
        <v>17</v>
      </c>
      <c r="C19" s="7" t="n">
        <f aca="false">v_w_5</f>
        <v>15463842</v>
      </c>
    </row>
    <row r="20" customFormat="false" ht="15" hidden="false" customHeight="false" outlineLevel="0" collapsed="false">
      <c r="B20" s="6" t="s">
        <v>18</v>
      </c>
      <c r="C20" s="7" t="str">
        <f aca="false">IF(v_mode="gift","Receipt of gift and others: ",IF(v_mode="cash","Cash and bank: ","Not balanced automatically: "))&amp;TEXT(IF(v_mode="gift",v_w_1c,v_a_k),"#,##0")</f>
        <v>Receipt of gift and others: 14,882,682</v>
      </c>
    </row>
    <row r="22" customFormat="false" ht="17.35" hidden="false" customHeight="false" outlineLevel="0" collapsed="false">
      <c r="B22" s="4" t="s">
        <v>19</v>
      </c>
      <c r="F22" s="5" t="s">
        <v>20</v>
      </c>
    </row>
    <row r="23" customFormat="false" ht="15" hidden="false" customHeight="false" outlineLevel="0" collapsed="false">
      <c r="B23" s="11" t="str">
        <f aca="false">IF(v_chk_name&amp;v_chk_tin&amp;v_chk_gift&amp;v_chk_cash&amp;v_chk_balance&amp;v_chk_biz&amp;v_chk_deficit&amp;v_chk_min="","No problems found in the figures.","")</f>
        <v>No problems found in the figures.</v>
      </c>
    </row>
    <row r="24" customFormat="false" ht="15" hidden="false" customHeight="false" outlineLevel="0" collapsed="false">
      <c r="B24" s="12" t="str">
        <f aca="false">v_chk_name</f>
        <v/>
      </c>
      <c r="C24" s="12"/>
      <c r="D24" s="12"/>
      <c r="E24" s="12"/>
      <c r="F24" s="12"/>
    </row>
    <row r="25" customFormat="false" ht="15" hidden="false" customHeight="false" outlineLevel="0" collapsed="false">
      <c r="B25" s="12" t="str">
        <f aca="false">v_chk_tin</f>
        <v/>
      </c>
      <c r="C25" s="12"/>
      <c r="D25" s="12"/>
      <c r="E25" s="12"/>
      <c r="F25" s="12"/>
    </row>
    <row r="26" customFormat="false" ht="15" hidden="false" customHeight="false" outlineLevel="0" collapsed="false">
      <c r="B26" s="12" t="str">
        <f aca="false">v_chk_gift</f>
        <v/>
      </c>
      <c r="C26" s="12"/>
      <c r="D26" s="12"/>
      <c r="E26" s="12"/>
      <c r="F26" s="12"/>
    </row>
    <row r="27" customFormat="false" ht="15" hidden="false" customHeight="false" outlineLevel="0" collapsed="false">
      <c r="B27" s="12" t="str">
        <f aca="false">v_chk_cash</f>
        <v/>
      </c>
      <c r="C27" s="12"/>
      <c r="D27" s="12"/>
      <c r="E27" s="12"/>
      <c r="F27" s="12"/>
    </row>
    <row r="28" customFormat="false" ht="15" hidden="false" customHeight="false" outlineLevel="0" collapsed="false">
      <c r="B28" s="12" t="str">
        <f aca="false">v_chk_balance</f>
        <v/>
      </c>
      <c r="C28" s="12"/>
      <c r="D28" s="12"/>
      <c r="E28" s="12"/>
      <c r="F28" s="12"/>
    </row>
    <row r="29" customFormat="false" ht="15" hidden="false" customHeight="false" outlineLevel="0" collapsed="false">
      <c r="B29" s="12" t="str">
        <f aca="false">v_chk_biz</f>
        <v/>
      </c>
      <c r="C29" s="12"/>
      <c r="D29" s="12"/>
      <c r="E29" s="12"/>
      <c r="F29" s="12"/>
    </row>
    <row r="30" customFormat="false" ht="15" hidden="false" customHeight="false" outlineLevel="0" collapsed="false">
      <c r="B30" s="12" t="str">
        <f aca="false">v_chk_deficit</f>
        <v/>
      </c>
      <c r="C30" s="12"/>
      <c r="D30" s="12"/>
      <c r="E30" s="12"/>
      <c r="F30" s="12"/>
    </row>
    <row r="31" customFormat="false" ht="15" hidden="false" customHeight="false" outlineLevel="0" collapsed="false">
      <c r="B31" s="12" t="str">
        <f aca="false">v_chk_min</f>
        <v/>
      </c>
      <c r="C31" s="12"/>
      <c r="D31" s="12"/>
      <c r="E31" s="12"/>
      <c r="F31" s="12"/>
    </row>
    <row r="32" customFormat="false" ht="27" hidden="false" customHeight="true" outlineLevel="0" collapsed="false">
      <c r="B32" s="12" t="str">
        <f aca="false">v_chk_rules</f>
        <v>Tax rules (sample-template): This profile copies the sample template, which still uses the older slab table (5% band). Reports on AY 2026-27 say the 5% band was removed and thresholds were raised. Use it to reproduce the sample or when you have confirmed it is right for your case.</v>
      </c>
      <c r="C32" s="12"/>
      <c r="D32" s="12"/>
      <c r="E32" s="12"/>
      <c r="F32" s="12"/>
    </row>
    <row r="34" customFormat="false" ht="17.35" hidden="false" customHeight="false" outlineLevel="0" collapsed="false">
      <c r="B34" s="4" t="s">
        <v>21</v>
      </c>
    </row>
    <row r="35" customFormat="false" ht="15" hidden="false" customHeight="false" outlineLevel="0" collapsed="false">
      <c r="B35" s="6" t="s">
        <v>22</v>
      </c>
      <c r="C35" s="13" t="s">
        <v>23</v>
      </c>
      <c r="F35" s="5" t="s">
        <v>24</v>
      </c>
    </row>
    <row r="36" customFormat="false" ht="32.8" hidden="false" customHeight="false" outlineLevel="0" collapsed="false">
      <c r="B36" s="6" t="s">
        <v>25</v>
      </c>
      <c r="C36" s="13" t="s">
        <v>26</v>
      </c>
      <c r="F36" s="5" t="s">
        <v>27</v>
      </c>
    </row>
    <row r="38" customFormat="false" ht="17.35" hidden="false" customHeight="false" outlineLevel="0" collapsed="false">
      <c r="B38" s="4" t="s">
        <v>28</v>
      </c>
      <c r="F38" s="5" t="s">
        <v>29</v>
      </c>
    </row>
    <row r="39" customFormat="false" ht="15" hidden="false" customHeight="false" outlineLevel="0" collapsed="false">
      <c r="B39" s="6" t="s">
        <v>30</v>
      </c>
      <c r="C39" s="13" t="s">
        <v>31</v>
      </c>
    </row>
    <row r="40" customFormat="false" ht="15" hidden="false" customHeight="false" outlineLevel="0" collapsed="false">
      <c r="B40" s="6" t="s">
        <v>32</v>
      </c>
      <c r="C40" s="13" t="s">
        <v>33</v>
      </c>
    </row>
    <row r="41" customFormat="false" ht="15" hidden="false" customHeight="false" outlineLevel="0" collapsed="false">
      <c r="B41" s="6" t="s">
        <v>34</v>
      </c>
      <c r="C41" s="13" t="s">
        <v>35</v>
      </c>
    </row>
    <row r="42" customFormat="false" ht="15" hidden="false" customHeight="false" outlineLevel="0" collapsed="false">
      <c r="B42" s="6" t="s">
        <v>36</v>
      </c>
      <c r="C42" s="13" t="s">
        <v>37</v>
      </c>
    </row>
    <row r="43" customFormat="false" ht="15" hidden="false" customHeight="false" outlineLevel="0" collapsed="false">
      <c r="B43" s="6" t="s">
        <v>38</v>
      </c>
      <c r="C43" s="13" t="s">
        <v>39</v>
      </c>
    </row>
    <row r="44" customFormat="false" ht="15" hidden="false" customHeight="false" outlineLevel="0" collapsed="false">
      <c r="B44" s="6" t="s">
        <v>40</v>
      </c>
      <c r="C44" s="13" t="s">
        <v>41</v>
      </c>
    </row>
    <row r="45" customFormat="false" ht="15" hidden="false" customHeight="false" outlineLevel="0" collapsed="false">
      <c r="B45" s="6" t="s">
        <v>42</v>
      </c>
      <c r="C45" s="13" t="s">
        <v>43</v>
      </c>
      <c r="F45" s="5" t="s">
        <v>44</v>
      </c>
    </row>
    <row r="46" customFormat="false" ht="15" hidden="false" customHeight="false" outlineLevel="0" collapsed="false">
      <c r="B46" s="6" t="s">
        <v>45</v>
      </c>
      <c r="C46" s="14" t="n">
        <v>25569</v>
      </c>
      <c r="F46" s="5" t="s">
        <v>46</v>
      </c>
    </row>
    <row r="47" customFormat="false" ht="15" hidden="false" customHeight="false" outlineLevel="0" collapsed="false">
      <c r="B47" s="6" t="s">
        <v>47</v>
      </c>
      <c r="C47" s="13" t="s">
        <v>48</v>
      </c>
    </row>
    <row r="48" customFormat="false" ht="15" hidden="false" customHeight="false" outlineLevel="0" collapsed="false">
      <c r="B48" s="6" t="s">
        <v>49</v>
      </c>
      <c r="C48" s="13" t="s">
        <v>48</v>
      </c>
    </row>
    <row r="49" customFormat="false" ht="15" hidden="false" customHeight="false" outlineLevel="0" collapsed="false">
      <c r="B49" s="6" t="s">
        <v>50</v>
      </c>
      <c r="C49" s="13" t="s">
        <v>48</v>
      </c>
    </row>
    <row r="50" customFormat="false" ht="15" hidden="false" customHeight="false" outlineLevel="0" collapsed="false">
      <c r="B50" s="6" t="s">
        <v>51</v>
      </c>
      <c r="C50" s="13" t="s">
        <v>48</v>
      </c>
      <c r="F50" s="5" t="s">
        <v>52</v>
      </c>
    </row>
    <row r="51" customFormat="false" ht="15" hidden="false" customHeight="false" outlineLevel="0" collapsed="false">
      <c r="B51" s="6" t="s">
        <v>53</v>
      </c>
      <c r="C51" s="13" t="s">
        <v>48</v>
      </c>
      <c r="F51" s="5" t="s">
        <v>54</v>
      </c>
    </row>
    <row r="52" customFormat="false" ht="22.35" hidden="false" customHeight="false" outlineLevel="0" collapsed="false">
      <c r="B52" s="6" t="s">
        <v>55</v>
      </c>
      <c r="C52" s="13" t="s">
        <v>41</v>
      </c>
      <c r="F52" s="5" t="s">
        <v>56</v>
      </c>
    </row>
    <row r="53" customFormat="false" ht="15" hidden="false" customHeight="false" outlineLevel="0" collapsed="false">
      <c r="B53" s="6" t="s">
        <v>57</v>
      </c>
      <c r="C53" s="13" t="s">
        <v>58</v>
      </c>
    </row>
    <row r="54" customFormat="false" ht="15" hidden="false" customHeight="false" outlineLevel="0" collapsed="false">
      <c r="B54" s="6" t="s">
        <v>59</v>
      </c>
      <c r="C54" s="13" t="s">
        <v>60</v>
      </c>
    </row>
    <row r="55" customFormat="false" ht="15" hidden="false" customHeight="false" outlineLevel="0" collapsed="false">
      <c r="B55" s="6" t="s">
        <v>61</v>
      </c>
      <c r="C55" s="13"/>
    </row>
    <row r="56" customFormat="false" ht="15" hidden="false" customHeight="false" outlineLevel="0" collapsed="false">
      <c r="B56" s="6" t="s">
        <v>62</v>
      </c>
      <c r="C56" s="13"/>
    </row>
    <row r="57" customFormat="false" ht="15" hidden="false" customHeight="false" outlineLevel="0" collapsed="false">
      <c r="B57" s="6" t="s">
        <v>63</v>
      </c>
      <c r="C57" s="13" t="s">
        <v>64</v>
      </c>
    </row>
    <row r="58" customFormat="false" ht="15" hidden="false" customHeight="false" outlineLevel="0" collapsed="false">
      <c r="B58" s="6" t="s">
        <v>65</v>
      </c>
      <c r="C58" s="13"/>
    </row>
    <row r="59" customFormat="false" ht="15" hidden="false" customHeight="false" outlineLevel="0" collapsed="false">
      <c r="B59" s="6" t="s">
        <v>66</v>
      </c>
      <c r="C59" s="13"/>
    </row>
    <row r="60" customFormat="false" ht="15" hidden="false" customHeight="false" outlineLevel="0" collapsed="false">
      <c r="B60" s="6" t="s">
        <v>67</v>
      </c>
      <c r="C60" s="13"/>
    </row>
    <row r="61" customFormat="false" ht="15" hidden="false" customHeight="false" outlineLevel="0" collapsed="false">
      <c r="B61" s="6" t="s">
        <v>68</v>
      </c>
      <c r="C61" s="13" t="s">
        <v>69</v>
      </c>
    </row>
    <row r="62" customFormat="false" ht="15" hidden="false" customHeight="false" outlineLevel="0" collapsed="false">
      <c r="B62" s="6" t="s">
        <v>70</v>
      </c>
      <c r="C62" s="13"/>
    </row>
    <row r="63" customFormat="false" ht="15" hidden="false" customHeight="false" outlineLevel="0" collapsed="false">
      <c r="B63" s="6" t="s">
        <v>71</v>
      </c>
      <c r="C63" s="13"/>
    </row>
    <row r="64" customFormat="false" ht="15" hidden="false" customHeight="false" outlineLevel="0" collapsed="false">
      <c r="B64" s="6" t="s">
        <v>72</v>
      </c>
      <c r="C64" s="13"/>
    </row>
    <row r="66" customFormat="false" ht="22.35" hidden="false" customHeight="false" outlineLevel="0" collapsed="false">
      <c r="B66" s="4" t="s">
        <v>73</v>
      </c>
      <c r="F66" s="5" t="s">
        <v>74</v>
      </c>
    </row>
    <row r="67" customFormat="false" ht="15" hidden="false" customHeight="false" outlineLevel="0" collapsed="false">
      <c r="B67" s="8" t="s">
        <v>75</v>
      </c>
    </row>
    <row r="68" customFormat="false" ht="15" hidden="false" customHeight="false" outlineLevel="0" collapsed="false">
      <c r="B68" s="6" t="s">
        <v>76</v>
      </c>
      <c r="C68" s="15" t="n">
        <v>462648</v>
      </c>
    </row>
    <row r="69" customFormat="false" ht="15" hidden="false" customHeight="false" outlineLevel="0" collapsed="false">
      <c r="B69" s="6" t="s">
        <v>77</v>
      </c>
      <c r="C69" s="15"/>
    </row>
    <row r="70" customFormat="false" ht="15" hidden="false" customHeight="false" outlineLevel="0" collapsed="false">
      <c r="B70" s="6" t="s">
        <v>78</v>
      </c>
      <c r="C70" s="15"/>
    </row>
    <row r="71" customFormat="false" ht="15" hidden="false" customHeight="false" outlineLevel="0" collapsed="false">
      <c r="B71" s="6" t="s">
        <v>79</v>
      </c>
      <c r="C71" s="15"/>
    </row>
    <row r="72" customFormat="false" ht="15" hidden="false" customHeight="false" outlineLevel="0" collapsed="false">
      <c r="B72" s="6" t="s">
        <v>80</v>
      </c>
      <c r="C72" s="15"/>
    </row>
    <row r="73" customFormat="false" ht="15" hidden="false" customHeight="false" outlineLevel="0" collapsed="false">
      <c r="B73" s="6" t="s">
        <v>81</v>
      </c>
      <c r="C73" s="15"/>
    </row>
    <row r="74" customFormat="false" ht="15" hidden="false" customHeight="false" outlineLevel="0" collapsed="false">
      <c r="B74" s="6" t="s">
        <v>82</v>
      </c>
      <c r="C74" s="15" t="n">
        <v>53160</v>
      </c>
    </row>
    <row r="75" customFormat="false" ht="15" hidden="false" customHeight="false" outlineLevel="0" collapsed="false">
      <c r="B75" s="6" t="s">
        <v>83</v>
      </c>
      <c r="C75" s="15"/>
    </row>
    <row r="76" customFormat="false" ht="15" hidden="false" customHeight="false" outlineLevel="0" collapsed="false">
      <c r="B76" s="6" t="s">
        <v>84</v>
      </c>
      <c r="C76" s="15"/>
    </row>
    <row r="77" customFormat="false" ht="15" hidden="false" customHeight="false" outlineLevel="0" collapsed="false">
      <c r="B77" s="6" t="s">
        <v>85</v>
      </c>
      <c r="C77" s="15"/>
    </row>
    <row r="78" customFormat="false" ht="15" hidden="false" customHeight="false" outlineLevel="0" collapsed="false">
      <c r="B78" s="6" t="s">
        <v>86</v>
      </c>
      <c r="C78" s="15"/>
    </row>
    <row r="79" customFormat="false" ht="15" hidden="false" customHeight="false" outlineLevel="0" collapsed="false">
      <c r="B79" s="6" t="s">
        <v>87</v>
      </c>
      <c r="C79" s="15" t="n">
        <v>5308</v>
      </c>
    </row>
    <row r="80" customFormat="false" ht="15" hidden="false" customHeight="false" outlineLevel="0" collapsed="false">
      <c r="B80" s="6" t="s">
        <v>88</v>
      </c>
      <c r="C80" s="15"/>
    </row>
    <row r="81" customFormat="false" ht="15" hidden="false" customHeight="false" outlineLevel="0" collapsed="false">
      <c r="B81" s="6" t="s">
        <v>89</v>
      </c>
      <c r="C81" s="15"/>
    </row>
    <row r="82" customFormat="false" ht="15" hidden="false" customHeight="false" outlineLevel="0" collapsed="false">
      <c r="B82" s="6" t="s">
        <v>90</v>
      </c>
      <c r="C82" s="15"/>
    </row>
    <row r="83" customFormat="false" ht="15" hidden="false" customHeight="false" outlineLevel="0" collapsed="false">
      <c r="B83" s="6" t="s">
        <v>91</v>
      </c>
      <c r="C83" s="15"/>
    </row>
    <row r="84" customFormat="false" ht="15" hidden="false" customHeight="false" outlineLevel="0" collapsed="false">
      <c r="B84" s="8" t="s">
        <v>92</v>
      </c>
    </row>
    <row r="85" customFormat="false" ht="15" hidden="false" customHeight="false" outlineLevel="0" collapsed="false">
      <c r="B85" s="6" t="s">
        <v>76</v>
      </c>
      <c r="C85" s="15"/>
      <c r="F85" s="5" t="s">
        <v>93</v>
      </c>
    </row>
    <row r="86" customFormat="false" ht="15" hidden="false" customHeight="false" outlineLevel="0" collapsed="false">
      <c r="B86" s="6" t="s">
        <v>94</v>
      </c>
      <c r="C86" s="15"/>
    </row>
    <row r="87" customFormat="false" ht="15" hidden="false" customHeight="false" outlineLevel="0" collapsed="false">
      <c r="B87" s="6" t="s">
        <v>95</v>
      </c>
      <c r="C87" s="15"/>
    </row>
    <row r="88" customFormat="false" ht="15" hidden="false" customHeight="false" outlineLevel="0" collapsed="false">
      <c r="B88" s="6" t="s">
        <v>96</v>
      </c>
      <c r="C88" s="15"/>
    </row>
    <row r="89" customFormat="false" ht="15" hidden="false" customHeight="false" outlineLevel="0" collapsed="false">
      <c r="B89" s="6" t="s">
        <v>97</v>
      </c>
      <c r="C89" s="15"/>
    </row>
    <row r="90" customFormat="false" ht="15" hidden="false" customHeight="false" outlineLevel="0" collapsed="false">
      <c r="B90" s="6" t="s">
        <v>98</v>
      </c>
      <c r="C90" s="15"/>
    </row>
    <row r="91" customFormat="false" ht="15" hidden="false" customHeight="false" outlineLevel="0" collapsed="false">
      <c r="B91" s="6" t="s">
        <v>99</v>
      </c>
      <c r="C91" s="15"/>
    </row>
    <row r="92" customFormat="false" ht="15" hidden="false" customHeight="false" outlineLevel="0" collapsed="false">
      <c r="B92" s="6" t="s">
        <v>100</v>
      </c>
      <c r="C92" s="15"/>
    </row>
    <row r="93" customFormat="false" ht="15" hidden="false" customHeight="false" outlineLevel="0" collapsed="false">
      <c r="B93" s="6" t="s">
        <v>101</v>
      </c>
      <c r="C93" s="15"/>
    </row>
    <row r="94" customFormat="false" ht="15" hidden="false" customHeight="false" outlineLevel="0" collapsed="false">
      <c r="B94" s="6" t="s">
        <v>102</v>
      </c>
      <c r="C94" s="15"/>
    </row>
    <row r="95" customFormat="false" ht="15" hidden="false" customHeight="false" outlineLevel="0" collapsed="false">
      <c r="B95" s="6" t="s">
        <v>103</v>
      </c>
      <c r="C95" s="15"/>
    </row>
    <row r="96" customFormat="false" ht="15" hidden="false" customHeight="false" outlineLevel="0" collapsed="false">
      <c r="B96" s="6" t="s">
        <v>91</v>
      </c>
      <c r="C96" s="15"/>
    </row>
    <row r="98" customFormat="false" ht="17.35" hidden="false" customHeight="false" outlineLevel="0" collapsed="false">
      <c r="B98" s="4" t="s">
        <v>104</v>
      </c>
      <c r="F98" s="5" t="s">
        <v>105</v>
      </c>
    </row>
    <row r="99" customFormat="false" ht="15" hidden="false" customHeight="false" outlineLevel="0" collapsed="false">
      <c r="C99" s="8" t="s">
        <v>106</v>
      </c>
      <c r="D99" s="8" t="s">
        <v>107</v>
      </c>
      <c r="E99" s="8" t="s">
        <v>108</v>
      </c>
    </row>
    <row r="100" customFormat="false" ht="15" hidden="false" customHeight="false" outlineLevel="0" collapsed="false">
      <c r="B100" s="6" t="s">
        <v>109</v>
      </c>
      <c r="C100" s="13"/>
      <c r="D100" s="13"/>
      <c r="E100" s="13"/>
    </row>
    <row r="101" customFormat="false" ht="15" hidden="false" customHeight="false" outlineLevel="0" collapsed="false">
      <c r="B101" s="6" t="s">
        <v>110</v>
      </c>
      <c r="C101" s="13" t="s">
        <v>111</v>
      </c>
      <c r="D101" s="13" t="s">
        <v>111</v>
      </c>
      <c r="E101" s="13" t="s">
        <v>111</v>
      </c>
      <c r="F101" s="5" t="s">
        <v>112</v>
      </c>
    </row>
    <row r="102" customFormat="false" ht="15" hidden="false" customHeight="false" outlineLevel="0" collapsed="false">
      <c r="B102" s="6" t="s">
        <v>113</v>
      </c>
      <c r="C102" s="15" t="n">
        <v>395000</v>
      </c>
      <c r="D102" s="15"/>
      <c r="E102" s="15"/>
    </row>
    <row r="103" customFormat="false" ht="15" hidden="false" customHeight="false" outlineLevel="0" collapsed="false">
      <c r="B103" s="6" t="s">
        <v>114</v>
      </c>
      <c r="C103" s="15"/>
      <c r="D103" s="15"/>
      <c r="E103" s="15"/>
    </row>
    <row r="104" customFormat="false" ht="15" hidden="false" customHeight="false" outlineLevel="0" collapsed="false">
      <c r="B104" s="6" t="s">
        <v>115</v>
      </c>
      <c r="C104" s="15"/>
      <c r="D104" s="15"/>
      <c r="E104" s="15"/>
    </row>
    <row r="105" customFormat="false" ht="15" hidden="false" customHeight="false" outlineLevel="0" collapsed="false">
      <c r="B105" s="6" t="s">
        <v>116</v>
      </c>
      <c r="C105" s="15"/>
      <c r="D105" s="15"/>
      <c r="E105" s="15"/>
    </row>
    <row r="106" customFormat="false" ht="15" hidden="false" customHeight="false" outlineLevel="0" collapsed="false">
      <c r="B106" s="6" t="s">
        <v>117</v>
      </c>
      <c r="C106" s="15"/>
      <c r="D106" s="15"/>
      <c r="E106" s="15"/>
    </row>
    <row r="107" customFormat="false" ht="15" hidden="false" customHeight="false" outlineLevel="0" collapsed="false">
      <c r="B107" s="6" t="s">
        <v>118</v>
      </c>
      <c r="C107" s="15"/>
      <c r="D107" s="15"/>
      <c r="E107" s="15"/>
    </row>
    <row r="108" customFormat="false" ht="15" hidden="false" customHeight="false" outlineLevel="0" collapsed="false">
      <c r="B108" s="6" t="s">
        <v>119</v>
      </c>
      <c r="C108" s="15"/>
      <c r="D108" s="15"/>
      <c r="E108" s="15"/>
    </row>
    <row r="109" customFormat="false" ht="15" hidden="false" customHeight="false" outlineLevel="0" collapsed="false">
      <c r="B109" s="6" t="s">
        <v>120</v>
      </c>
      <c r="C109" s="15"/>
      <c r="D109" s="15"/>
      <c r="E109" s="15"/>
    </row>
    <row r="110" customFormat="false" ht="15" hidden="false" customHeight="false" outlineLevel="0" collapsed="false">
      <c r="B110" s="6" t="s">
        <v>121</v>
      </c>
      <c r="C110" s="15"/>
      <c r="D110" s="15"/>
      <c r="E110" s="15"/>
    </row>
    <row r="111" customFormat="false" ht="15" hidden="false" customHeight="false" outlineLevel="0" collapsed="false">
      <c r="B111" s="6" t="s">
        <v>122</v>
      </c>
      <c r="C111" s="15"/>
      <c r="D111" s="15"/>
      <c r="E111" s="15"/>
    </row>
    <row r="112" customFormat="false" ht="15" hidden="false" customHeight="false" outlineLevel="0" collapsed="false">
      <c r="B112" s="6" t="s">
        <v>123</v>
      </c>
      <c r="C112" s="15"/>
      <c r="D112" s="15"/>
      <c r="E112" s="15"/>
    </row>
    <row r="114" customFormat="false" ht="17.35" hidden="false" customHeight="false" outlineLevel="0" collapsed="false">
      <c r="B114" s="4" t="s">
        <v>124</v>
      </c>
    </row>
    <row r="115" customFormat="false" ht="15" hidden="false" customHeight="false" outlineLevel="0" collapsed="false">
      <c r="B115" s="6" t="s">
        <v>125</v>
      </c>
      <c r="C115" s="13"/>
    </row>
    <row r="116" customFormat="false" ht="15" hidden="false" customHeight="false" outlineLevel="0" collapsed="false">
      <c r="B116" s="6" t="s">
        <v>126</v>
      </c>
      <c r="C116" s="15"/>
    </row>
    <row r="117" customFormat="false" ht="15" hidden="false" customHeight="false" outlineLevel="0" collapsed="false">
      <c r="B117" s="6" t="s">
        <v>127</v>
      </c>
      <c r="C117" s="15"/>
    </row>
    <row r="118" customFormat="false" ht="15" hidden="false" customHeight="false" outlineLevel="0" collapsed="false">
      <c r="B118" s="6" t="s">
        <v>128</v>
      </c>
      <c r="C118" s="15"/>
    </row>
    <row r="120" customFormat="false" ht="17.35" hidden="false" customHeight="false" outlineLevel="0" collapsed="false">
      <c r="B120" s="4" t="s">
        <v>129</v>
      </c>
    </row>
    <row r="121" customFormat="false" ht="15" hidden="false" customHeight="false" outlineLevel="0" collapsed="false">
      <c r="B121" s="6" t="s">
        <v>130</v>
      </c>
      <c r="C121" s="13"/>
    </row>
    <row r="122" customFormat="false" ht="15" hidden="false" customHeight="false" outlineLevel="0" collapsed="false">
      <c r="B122" s="6" t="s">
        <v>131</v>
      </c>
      <c r="C122" s="13"/>
    </row>
    <row r="123" customFormat="false" ht="15" hidden="false" customHeight="false" outlineLevel="0" collapsed="false">
      <c r="B123" s="6" t="s">
        <v>63</v>
      </c>
      <c r="C123" s="13"/>
    </row>
    <row r="124" customFormat="false" ht="15" hidden="false" customHeight="false" outlineLevel="0" collapsed="false">
      <c r="B124" s="6" t="s">
        <v>126</v>
      </c>
      <c r="C124" s="15"/>
    </row>
    <row r="125" customFormat="false" ht="15" hidden="false" customHeight="false" outlineLevel="0" collapsed="false">
      <c r="B125" s="6" t="s">
        <v>127</v>
      </c>
      <c r="C125" s="15"/>
    </row>
    <row r="126" customFormat="false" ht="15" hidden="false" customHeight="false" outlineLevel="0" collapsed="false">
      <c r="B126" s="6" t="s">
        <v>132</v>
      </c>
      <c r="C126" s="15"/>
    </row>
    <row r="127" customFormat="false" ht="15" hidden="false" customHeight="false" outlineLevel="0" collapsed="false">
      <c r="B127" s="6" t="s">
        <v>133</v>
      </c>
      <c r="C127" s="15"/>
    </row>
    <row r="128" customFormat="false" ht="15" hidden="false" customHeight="false" outlineLevel="0" collapsed="false">
      <c r="B128" s="8" t="s">
        <v>134</v>
      </c>
    </row>
    <row r="129" customFormat="false" ht="15" hidden="false" customHeight="false" outlineLevel="0" collapsed="false">
      <c r="B129" s="6" t="s">
        <v>135</v>
      </c>
      <c r="C129" s="15"/>
    </row>
    <row r="130" customFormat="false" ht="15" hidden="false" customHeight="false" outlineLevel="0" collapsed="false">
      <c r="B130" s="6" t="s">
        <v>136</v>
      </c>
      <c r="C130" s="15"/>
    </row>
    <row r="131" customFormat="false" ht="15" hidden="false" customHeight="false" outlineLevel="0" collapsed="false">
      <c r="B131" s="6" t="s">
        <v>137</v>
      </c>
      <c r="C131" s="15"/>
    </row>
    <row r="132" customFormat="false" ht="15" hidden="false" customHeight="false" outlineLevel="0" collapsed="false">
      <c r="B132" s="6" t="s">
        <v>138</v>
      </c>
      <c r="C132" s="15"/>
    </row>
    <row r="133" customFormat="false" ht="15" hidden="false" customHeight="false" outlineLevel="0" collapsed="false">
      <c r="B133" s="6" t="s">
        <v>139</v>
      </c>
      <c r="C133" s="15"/>
    </row>
    <row r="134" customFormat="false" ht="15" hidden="false" customHeight="false" outlineLevel="0" collapsed="false">
      <c r="B134" s="6" t="s">
        <v>140</v>
      </c>
      <c r="C134" s="15"/>
    </row>
    <row r="135" customFormat="false" ht="15" hidden="false" customHeight="false" outlineLevel="0" collapsed="false">
      <c r="B135" s="6" t="s">
        <v>141</v>
      </c>
      <c r="C135" s="15"/>
    </row>
    <row r="137" customFormat="false" ht="17.35" hidden="false" customHeight="false" outlineLevel="0" collapsed="false">
      <c r="B137" s="4" t="s">
        <v>142</v>
      </c>
    </row>
    <row r="138" customFormat="false" ht="15" hidden="false" customHeight="false" outlineLevel="0" collapsed="false">
      <c r="B138" s="6" t="s">
        <v>143</v>
      </c>
      <c r="C138" s="15"/>
    </row>
    <row r="139" customFormat="false" ht="15" hidden="false" customHeight="false" outlineLevel="0" collapsed="false">
      <c r="B139" s="6" t="s">
        <v>144</v>
      </c>
      <c r="C139" s="15"/>
    </row>
    <row r="140" customFormat="false" ht="15" hidden="false" customHeight="false" outlineLevel="0" collapsed="false">
      <c r="B140" s="6" t="s">
        <v>145</v>
      </c>
      <c r="C140" s="15"/>
      <c r="F140" s="5" t="s">
        <v>146</v>
      </c>
    </row>
    <row r="141" customFormat="false" ht="15" hidden="false" customHeight="false" outlineLevel="0" collapsed="false">
      <c r="B141" s="6" t="s">
        <v>147</v>
      </c>
      <c r="C141" s="15"/>
    </row>
    <row r="142" customFormat="false" ht="15" hidden="false" customHeight="false" outlineLevel="0" collapsed="false">
      <c r="B142" s="6" t="s">
        <v>148</v>
      </c>
      <c r="C142" s="15"/>
    </row>
    <row r="143" customFormat="false" ht="15" hidden="false" customHeight="false" outlineLevel="0" collapsed="false">
      <c r="B143" s="6" t="s">
        <v>149</v>
      </c>
      <c r="C143" s="15"/>
    </row>
    <row r="144" customFormat="false" ht="15" hidden="false" customHeight="false" outlineLevel="0" collapsed="false">
      <c r="B144" s="6" t="s">
        <v>150</v>
      </c>
      <c r="C144" s="15"/>
    </row>
    <row r="146" customFormat="false" ht="17.35" hidden="false" customHeight="false" outlineLevel="0" collapsed="false">
      <c r="B146" s="4" t="s">
        <v>151</v>
      </c>
      <c r="F146" s="5" t="s">
        <v>152</v>
      </c>
    </row>
    <row r="147" customFormat="false" ht="15" hidden="false" customHeight="false" outlineLevel="0" collapsed="false">
      <c r="B147" s="6" t="s">
        <v>153</v>
      </c>
      <c r="C147" s="15"/>
    </row>
    <row r="148" customFormat="false" ht="15" hidden="false" customHeight="false" outlineLevel="0" collapsed="false">
      <c r="B148" s="6" t="s">
        <v>154</v>
      </c>
      <c r="C148" s="15"/>
    </row>
    <row r="149" customFormat="false" ht="15" hidden="false" customHeight="false" outlineLevel="0" collapsed="false">
      <c r="B149" s="6" t="s">
        <v>155</v>
      </c>
      <c r="C149" s="15"/>
    </row>
    <row r="150" customFormat="false" ht="15" hidden="false" customHeight="false" outlineLevel="0" collapsed="false">
      <c r="B150" s="6" t="s">
        <v>156</v>
      </c>
      <c r="C150" s="15"/>
    </row>
    <row r="151" customFormat="false" ht="15" hidden="false" customHeight="false" outlineLevel="0" collapsed="false">
      <c r="B151" s="6" t="s">
        <v>157</v>
      </c>
      <c r="C151" s="15"/>
    </row>
    <row r="152" customFormat="false" ht="15" hidden="false" customHeight="false" outlineLevel="0" collapsed="false">
      <c r="B152" s="6" t="s">
        <v>158</v>
      </c>
      <c r="C152" s="15"/>
    </row>
    <row r="153" customFormat="false" ht="15" hidden="false" customHeight="false" outlineLevel="0" collapsed="false">
      <c r="B153" s="6" t="s">
        <v>159</v>
      </c>
      <c r="C153" s="15"/>
    </row>
    <row r="154" customFormat="false" ht="15" hidden="false" customHeight="false" outlineLevel="0" collapsed="false">
      <c r="B154" s="6" t="s">
        <v>160</v>
      </c>
      <c r="C154" s="15"/>
    </row>
    <row r="155" customFormat="false" ht="15" hidden="false" customHeight="false" outlineLevel="0" collapsed="false">
      <c r="B155" s="6" t="s">
        <v>161</v>
      </c>
      <c r="C155" s="15"/>
    </row>
    <row r="156" customFormat="false" ht="15" hidden="false" customHeight="false" outlineLevel="0" collapsed="false">
      <c r="B156" s="6" t="s">
        <v>162</v>
      </c>
      <c r="C156" s="15"/>
    </row>
    <row r="157" customFormat="false" ht="15" hidden="false" customHeight="false" outlineLevel="0" collapsed="false">
      <c r="B157" s="6" t="s">
        <v>163</v>
      </c>
      <c r="C157" s="15"/>
    </row>
    <row r="158" customFormat="false" ht="15" hidden="false" customHeight="false" outlineLevel="0" collapsed="false">
      <c r="B158" s="6" t="s">
        <v>164</v>
      </c>
      <c r="C158" s="15"/>
    </row>
    <row r="159" customFormat="false" ht="15" hidden="false" customHeight="false" outlineLevel="0" collapsed="false">
      <c r="B159" s="6" t="s">
        <v>165</v>
      </c>
      <c r="C159" s="15"/>
    </row>
    <row r="160" customFormat="false" ht="15" hidden="false" customHeight="false" outlineLevel="0" collapsed="false">
      <c r="B160" s="6" t="s">
        <v>166</v>
      </c>
      <c r="C160" s="15"/>
    </row>
    <row r="161" customFormat="false" ht="15" hidden="false" customHeight="false" outlineLevel="0" collapsed="false">
      <c r="B161" s="6" t="s">
        <v>167</v>
      </c>
      <c r="C161" s="15"/>
    </row>
    <row r="162" customFormat="false" ht="15" hidden="false" customHeight="false" outlineLevel="0" collapsed="false">
      <c r="B162" s="6" t="s">
        <v>168</v>
      </c>
      <c r="C162" s="15"/>
    </row>
    <row r="163" customFormat="false" ht="15" hidden="false" customHeight="false" outlineLevel="0" collapsed="false">
      <c r="B163" s="6" t="s">
        <v>169</v>
      </c>
      <c r="C163" s="15"/>
    </row>
    <row r="164" customFormat="false" ht="15" hidden="false" customHeight="false" outlineLevel="0" collapsed="false">
      <c r="B164" s="6" t="s">
        <v>170</v>
      </c>
      <c r="C164" s="15"/>
    </row>
    <row r="165" customFormat="false" ht="15" hidden="false" customHeight="false" outlineLevel="0" collapsed="false">
      <c r="B165" s="6" t="s">
        <v>171</v>
      </c>
      <c r="C165" s="15"/>
    </row>
    <row r="166" customFormat="false" ht="15" hidden="false" customHeight="false" outlineLevel="0" collapsed="false">
      <c r="B166" s="6" t="s">
        <v>172</v>
      </c>
      <c r="C166" s="15"/>
    </row>
    <row r="167" customFormat="false" ht="15" hidden="false" customHeight="false" outlineLevel="0" collapsed="false">
      <c r="B167" s="6" t="s">
        <v>173</v>
      </c>
      <c r="C167" s="15"/>
    </row>
    <row r="168" customFormat="false" ht="15" hidden="false" customHeight="false" outlineLevel="0" collapsed="false">
      <c r="B168" s="6" t="s">
        <v>174</v>
      </c>
      <c r="C168" s="15"/>
    </row>
    <row r="170" customFormat="false" ht="17.35" hidden="false" customHeight="false" outlineLevel="0" collapsed="false">
      <c r="B170" s="4" t="s">
        <v>175</v>
      </c>
      <c r="F170" s="5" t="s">
        <v>176</v>
      </c>
    </row>
    <row r="171" customFormat="false" ht="15" hidden="false" customHeight="false" outlineLevel="0" collapsed="false">
      <c r="B171" s="6" t="s">
        <v>177</v>
      </c>
      <c r="C171" s="15"/>
    </row>
    <row r="172" customFormat="false" ht="15" hidden="false" customHeight="false" outlineLevel="0" collapsed="false">
      <c r="B172" s="6" t="s">
        <v>178</v>
      </c>
      <c r="C172" s="15"/>
    </row>
    <row r="173" customFormat="false" ht="15" hidden="false" customHeight="false" outlineLevel="0" collapsed="false">
      <c r="B173" s="6" t="s">
        <v>179</v>
      </c>
      <c r="C173" s="15"/>
    </row>
    <row r="174" customFormat="false" ht="15" hidden="false" customHeight="false" outlineLevel="0" collapsed="false">
      <c r="B174" s="6" t="s">
        <v>180</v>
      </c>
      <c r="C174" s="15"/>
    </row>
    <row r="175" customFormat="false" ht="15" hidden="false" customHeight="false" outlineLevel="0" collapsed="false">
      <c r="B175" s="6" t="s">
        <v>181</v>
      </c>
      <c r="C175" s="15"/>
    </row>
    <row r="176" customFormat="false" ht="15" hidden="false" customHeight="false" outlineLevel="0" collapsed="false">
      <c r="B176" s="6" t="s">
        <v>182</v>
      </c>
      <c r="C176" s="15"/>
    </row>
    <row r="177" customFormat="false" ht="15" hidden="false" customHeight="false" outlineLevel="0" collapsed="false">
      <c r="B177" s="6" t="s">
        <v>183</v>
      </c>
      <c r="C177" s="15"/>
    </row>
    <row r="178" customFormat="false" ht="15" hidden="false" customHeight="false" outlineLevel="0" collapsed="false">
      <c r="B178" s="6" t="s">
        <v>184</v>
      </c>
      <c r="C178" s="15"/>
    </row>
    <row r="179" customFormat="false" ht="15" hidden="false" customHeight="false" outlineLevel="0" collapsed="false">
      <c r="B179" s="6" t="s">
        <v>185</v>
      </c>
      <c r="C179" s="15"/>
    </row>
    <row r="180" customFormat="false" ht="15" hidden="false" customHeight="false" outlineLevel="0" collapsed="false">
      <c r="B180" s="6" t="s">
        <v>91</v>
      </c>
      <c r="C180" s="15"/>
    </row>
    <row r="182" customFormat="false" ht="17.35" hidden="false" customHeight="false" outlineLevel="0" collapsed="false">
      <c r="B182" s="4" t="s">
        <v>186</v>
      </c>
    </row>
    <row r="183" customFormat="false" ht="15" hidden="false" customHeight="false" outlineLevel="0" collapsed="false">
      <c r="B183" s="6" t="s">
        <v>187</v>
      </c>
      <c r="C183" s="15"/>
    </row>
    <row r="184" customFormat="false" ht="15" hidden="false" customHeight="false" outlineLevel="0" collapsed="false">
      <c r="B184" s="6" t="s">
        <v>188</v>
      </c>
      <c r="C184" s="15"/>
    </row>
    <row r="185" customFormat="false" ht="15" hidden="false" customHeight="false" outlineLevel="0" collapsed="false">
      <c r="B185" s="6" t="s">
        <v>189</v>
      </c>
      <c r="C185" s="15"/>
    </row>
    <row r="186" customFormat="false" ht="15" hidden="false" customHeight="false" outlineLevel="0" collapsed="false">
      <c r="B186" s="6" t="s">
        <v>190</v>
      </c>
      <c r="C186" s="15"/>
    </row>
    <row r="187" customFormat="false" ht="15" hidden="false" customHeight="false" outlineLevel="0" collapsed="false">
      <c r="B187" s="6" t="s">
        <v>191</v>
      </c>
      <c r="C187" s="15"/>
    </row>
    <row r="188" customFormat="false" ht="15" hidden="false" customHeight="false" outlineLevel="0" collapsed="false">
      <c r="B188" s="6" t="s">
        <v>192</v>
      </c>
      <c r="C188" s="15"/>
    </row>
    <row r="189" customFormat="false" ht="15" hidden="false" customHeight="false" outlineLevel="0" collapsed="false">
      <c r="B189" s="6" t="s">
        <v>193</v>
      </c>
      <c r="C189" s="15"/>
    </row>
    <row r="190" customFormat="false" ht="15" hidden="false" customHeight="false" outlineLevel="0" collapsed="false">
      <c r="B190" s="6" t="s">
        <v>194</v>
      </c>
      <c r="C190" s="13"/>
    </row>
    <row r="191" customFormat="false" ht="15" hidden="false" customHeight="false" outlineLevel="0" collapsed="false">
      <c r="B191" s="6" t="s">
        <v>195</v>
      </c>
      <c r="C191" s="15"/>
      <c r="F191" s="5" t="s">
        <v>196</v>
      </c>
    </row>
    <row r="192" customFormat="false" ht="15" hidden="false" customHeight="false" outlineLevel="0" collapsed="false">
      <c r="B192" s="6" t="s">
        <v>197</v>
      </c>
      <c r="C192" s="13"/>
    </row>
    <row r="194" customFormat="false" ht="17.35" hidden="false" customHeight="false" outlineLevel="0" collapsed="false">
      <c r="B194" s="4" t="s">
        <v>198</v>
      </c>
    </row>
    <row r="195" customFormat="false" ht="15" hidden="false" customHeight="false" outlineLevel="0" collapsed="false">
      <c r="B195" s="6" t="s">
        <v>199</v>
      </c>
      <c r="C195" s="13" t="s">
        <v>48</v>
      </c>
      <c r="F195" s="5" t="s">
        <v>200</v>
      </c>
    </row>
    <row r="196" customFormat="false" ht="15" hidden="false" customHeight="false" outlineLevel="0" collapsed="false">
      <c r="B196" s="6" t="s">
        <v>201</v>
      </c>
      <c r="C196" s="15"/>
    </row>
    <row r="197" customFormat="false" ht="15" hidden="false" customHeight="false" outlineLevel="0" collapsed="false">
      <c r="B197" s="6" t="s">
        <v>202</v>
      </c>
      <c r="C197" s="15"/>
    </row>
    <row r="198" customFormat="false" ht="15" hidden="false" customHeight="false" outlineLevel="0" collapsed="false">
      <c r="B198" s="6" t="s">
        <v>203</v>
      </c>
      <c r="C198" s="15"/>
    </row>
    <row r="199" customFormat="false" ht="15" hidden="false" customHeight="false" outlineLevel="0" collapsed="false">
      <c r="B199" s="6" t="s">
        <v>204</v>
      </c>
      <c r="C199" s="15"/>
    </row>
    <row r="200" customFormat="false" ht="15" hidden="false" customHeight="false" outlineLevel="0" collapsed="false">
      <c r="B200" s="6" t="s">
        <v>205</v>
      </c>
      <c r="C200" s="13" t="s">
        <v>41</v>
      </c>
    </row>
    <row r="201" customFormat="false" ht="15" hidden="false" customHeight="false" outlineLevel="0" collapsed="false">
      <c r="B201" s="6" t="s">
        <v>206</v>
      </c>
      <c r="C201" s="15"/>
      <c r="F201" s="5" t="s">
        <v>207</v>
      </c>
    </row>
    <row r="202" customFormat="false" ht="15" hidden="false" customHeight="false" outlineLevel="0" collapsed="false">
      <c r="B202" s="6" t="s">
        <v>208</v>
      </c>
      <c r="C202" s="15"/>
      <c r="F202" s="5" t="s">
        <v>209</v>
      </c>
    </row>
    <row r="203" customFormat="false" ht="15" hidden="false" customHeight="false" outlineLevel="0" collapsed="false">
      <c r="B203" s="6" t="s">
        <v>210</v>
      </c>
      <c r="C203" s="15"/>
      <c r="F203" s="5" t="s">
        <v>211</v>
      </c>
    </row>
    <row r="205" customFormat="false" ht="17.35" hidden="false" customHeight="false" outlineLevel="0" collapsed="false">
      <c r="B205" s="4" t="s">
        <v>212</v>
      </c>
      <c r="F205" s="5" t="s">
        <v>213</v>
      </c>
    </row>
    <row r="206" customFormat="false" ht="15" hidden="false" customHeight="false" outlineLevel="0" collapsed="false">
      <c r="C206" s="8" t="s">
        <v>214</v>
      </c>
      <c r="D206" s="8" t="s">
        <v>215</v>
      </c>
    </row>
    <row r="207" customFormat="false" ht="15" hidden="false" customHeight="false" outlineLevel="0" collapsed="false">
      <c r="B207" s="6" t="s">
        <v>216</v>
      </c>
      <c r="C207" s="15" t="n">
        <v>200000</v>
      </c>
      <c r="D207" s="13"/>
    </row>
    <row r="208" customFormat="false" ht="15" hidden="false" customHeight="false" outlineLevel="0" collapsed="false">
      <c r="B208" s="6" t="s">
        <v>217</v>
      </c>
      <c r="C208" s="15"/>
      <c r="D208" s="13" t="s">
        <v>218</v>
      </c>
    </row>
    <row r="209" customFormat="false" ht="15" hidden="false" customHeight="false" outlineLevel="0" collapsed="false">
      <c r="B209" s="6" t="s">
        <v>219</v>
      </c>
      <c r="C209" s="15"/>
      <c r="D209" s="13"/>
    </row>
    <row r="210" customFormat="false" ht="15" hidden="false" customHeight="false" outlineLevel="0" collapsed="false">
      <c r="B210" s="6" t="s">
        <v>220</v>
      </c>
      <c r="C210" s="15"/>
      <c r="D210" s="13"/>
    </row>
    <row r="211" customFormat="false" ht="15" hidden="false" customHeight="false" outlineLevel="0" collapsed="false">
      <c r="B211" s="6" t="s">
        <v>221</v>
      </c>
      <c r="C211" s="15"/>
      <c r="D211" s="13"/>
    </row>
    <row r="212" customFormat="false" ht="15" hidden="false" customHeight="false" outlineLevel="0" collapsed="false">
      <c r="B212" s="6" t="s">
        <v>222</v>
      </c>
      <c r="C212" s="15"/>
      <c r="D212" s="13"/>
    </row>
    <row r="213" customFormat="false" ht="15" hidden="false" customHeight="false" outlineLevel="0" collapsed="false">
      <c r="B213" s="6" t="s">
        <v>223</v>
      </c>
      <c r="C213" s="15"/>
      <c r="D213" s="13"/>
    </row>
    <row r="214" customFormat="false" ht="15" hidden="false" customHeight="false" outlineLevel="0" collapsed="false">
      <c r="B214" s="6" t="s">
        <v>224</v>
      </c>
      <c r="C214" s="15"/>
      <c r="D214" s="13"/>
    </row>
    <row r="215" customFormat="false" ht="15" hidden="false" customHeight="false" outlineLevel="0" collapsed="false">
      <c r="B215" s="6" t="s">
        <v>225</v>
      </c>
      <c r="C215" s="15"/>
      <c r="D215" s="13"/>
    </row>
    <row r="217" customFormat="false" ht="17.35" hidden="false" customHeight="false" outlineLevel="0" collapsed="false">
      <c r="B217" s="4" t="s">
        <v>226</v>
      </c>
    </row>
    <row r="218" customFormat="false" ht="15" hidden="false" customHeight="false" outlineLevel="0" collapsed="false">
      <c r="B218" s="6" t="s">
        <v>227</v>
      </c>
      <c r="C218" s="15"/>
      <c r="F218" s="5" t="s">
        <v>228</v>
      </c>
    </row>
    <row r="219" customFormat="false" ht="15" hidden="false" customHeight="false" outlineLevel="0" collapsed="false">
      <c r="B219" s="6" t="s">
        <v>229</v>
      </c>
      <c r="C219" s="13" t="s">
        <v>230</v>
      </c>
      <c r="F219" s="5" t="s">
        <v>231</v>
      </c>
    </row>
    <row r="220" customFormat="false" ht="15" hidden="false" customHeight="false" outlineLevel="0" collapsed="false">
      <c r="B220" s="6" t="s">
        <v>232</v>
      </c>
      <c r="C220" s="15"/>
      <c r="F220" s="5" t="s">
        <v>233</v>
      </c>
    </row>
    <row r="221" customFormat="false" ht="15" hidden="false" customHeight="false" outlineLevel="0" collapsed="false">
      <c r="B221" s="6" t="s">
        <v>234</v>
      </c>
      <c r="C221" s="13"/>
      <c r="F221" s="5" t="s">
        <v>235</v>
      </c>
    </row>
    <row r="222" customFormat="false" ht="15" hidden="false" customHeight="false" outlineLevel="0" collapsed="false">
      <c r="B222" s="6" t="s">
        <v>236</v>
      </c>
      <c r="C222" s="15"/>
    </row>
    <row r="223" customFormat="false" ht="15" hidden="false" customHeight="false" outlineLevel="0" collapsed="false">
      <c r="B223" s="8" t="s">
        <v>141</v>
      </c>
    </row>
    <row r="224" customFormat="false" ht="15" hidden="false" customHeight="false" outlineLevel="0" collapsed="false">
      <c r="B224" s="6" t="s">
        <v>237</v>
      </c>
      <c r="C224" s="15"/>
    </row>
    <row r="225" customFormat="false" ht="15" hidden="false" customHeight="false" outlineLevel="0" collapsed="false">
      <c r="B225" s="6" t="s">
        <v>238</v>
      </c>
      <c r="C225" s="15"/>
    </row>
    <row r="226" customFormat="false" ht="15" hidden="false" customHeight="false" outlineLevel="0" collapsed="false">
      <c r="B226" s="6" t="s">
        <v>239</v>
      </c>
      <c r="C226" s="15"/>
    </row>
    <row r="227" customFormat="false" ht="15" hidden="false" customHeight="false" outlineLevel="0" collapsed="false">
      <c r="B227" s="8" t="s">
        <v>240</v>
      </c>
    </row>
    <row r="228" customFormat="false" ht="15" hidden="false" customHeight="false" outlineLevel="0" collapsed="false">
      <c r="C228" s="8" t="s">
        <v>241</v>
      </c>
      <c r="E228" s="8" t="s">
        <v>242</v>
      </c>
    </row>
    <row r="229" customFormat="false" ht="15" hidden="false" customHeight="false" outlineLevel="0" collapsed="false">
      <c r="B229" s="6" t="s">
        <v>106</v>
      </c>
      <c r="C229" s="13" t="s">
        <v>243</v>
      </c>
      <c r="D229" s="13"/>
      <c r="E229" s="15" t="n">
        <v>6700000</v>
      </c>
    </row>
    <row r="230" customFormat="false" ht="15" hidden="false" customHeight="false" outlineLevel="0" collapsed="false">
      <c r="B230" s="6" t="s">
        <v>107</v>
      </c>
      <c r="C230" s="13" t="s">
        <v>243</v>
      </c>
      <c r="D230" s="13"/>
      <c r="E230" s="15" t="n">
        <v>6700000</v>
      </c>
    </row>
    <row r="231" customFormat="false" ht="15" hidden="false" customHeight="false" outlineLevel="0" collapsed="false">
      <c r="B231" s="6" t="s">
        <v>108</v>
      </c>
      <c r="C231" s="13"/>
      <c r="D231" s="13"/>
      <c r="E231" s="15"/>
    </row>
    <row r="232" customFormat="false" ht="15" hidden="false" customHeight="false" outlineLevel="0" collapsed="false">
      <c r="B232" s="6" t="s">
        <v>244</v>
      </c>
      <c r="C232" s="13"/>
      <c r="D232" s="13"/>
      <c r="E232" s="15"/>
    </row>
    <row r="233" customFormat="false" ht="15" hidden="false" customHeight="false" outlineLevel="0" collapsed="false">
      <c r="B233" s="8" t="s">
        <v>245</v>
      </c>
    </row>
    <row r="234" customFormat="false" ht="15" hidden="false" customHeight="false" outlineLevel="0" collapsed="false">
      <c r="B234" s="6" t="s">
        <v>246</v>
      </c>
      <c r="C234" s="13"/>
      <c r="D234" s="13"/>
      <c r="E234" s="15"/>
    </row>
    <row r="235" customFormat="false" ht="15" hidden="false" customHeight="false" outlineLevel="0" collapsed="false">
      <c r="B235" s="6" t="s">
        <v>247</v>
      </c>
      <c r="C235" s="13"/>
      <c r="D235" s="13"/>
      <c r="E235" s="15"/>
    </row>
    <row r="236" customFormat="false" ht="15" hidden="false" customHeight="false" outlineLevel="0" collapsed="false">
      <c r="B236" s="8" t="s">
        <v>248</v>
      </c>
    </row>
    <row r="237" customFormat="false" ht="15" hidden="false" customHeight="false" outlineLevel="0" collapsed="false">
      <c r="B237" s="6" t="s">
        <v>249</v>
      </c>
      <c r="C237" s="15"/>
    </row>
    <row r="238" customFormat="false" ht="15" hidden="false" customHeight="false" outlineLevel="0" collapsed="false">
      <c r="B238" s="6" t="s">
        <v>250</v>
      </c>
      <c r="C238" s="15"/>
    </row>
    <row r="239" customFormat="false" ht="15" hidden="false" customHeight="false" outlineLevel="0" collapsed="false">
      <c r="B239" s="6" t="s">
        <v>251</v>
      </c>
      <c r="C239" s="15"/>
    </row>
    <row r="240" customFormat="false" ht="15" hidden="false" customHeight="false" outlineLevel="0" collapsed="false">
      <c r="B240" s="6" t="s">
        <v>252</v>
      </c>
      <c r="C240" s="15"/>
    </row>
    <row r="241" customFormat="false" ht="15" hidden="false" customHeight="false" outlineLevel="0" collapsed="false">
      <c r="B241" s="6" t="s">
        <v>253</v>
      </c>
      <c r="C241" s="15"/>
    </row>
    <row r="242" customFormat="false" ht="15" hidden="false" customHeight="false" outlineLevel="0" collapsed="false">
      <c r="B242" s="6" t="s">
        <v>254</v>
      </c>
      <c r="C242" s="15" t="n">
        <v>950048</v>
      </c>
    </row>
    <row r="243" customFormat="false" ht="15" hidden="false" customHeight="false" outlineLevel="0" collapsed="false">
      <c r="B243" s="6" t="s">
        <v>255</v>
      </c>
      <c r="C243" s="15"/>
    </row>
    <row r="244" customFormat="false" ht="15" hidden="false" customHeight="false" outlineLevel="0" collapsed="false">
      <c r="B244" s="8" t="s">
        <v>138</v>
      </c>
    </row>
    <row r="245" customFormat="false" ht="15" hidden="false" customHeight="false" outlineLevel="0" collapsed="false">
      <c r="B245" s="6" t="s">
        <v>256</v>
      </c>
      <c r="C245" s="15"/>
    </row>
    <row r="246" customFormat="false" ht="15" hidden="false" customHeight="false" outlineLevel="0" collapsed="false">
      <c r="B246" s="6" t="s">
        <v>257</v>
      </c>
      <c r="C246" s="15"/>
    </row>
    <row r="247" customFormat="false" ht="15" hidden="false" customHeight="false" outlineLevel="0" collapsed="false">
      <c r="B247" s="6" t="s">
        <v>258</v>
      </c>
      <c r="C247" s="15"/>
    </row>
    <row r="248" customFormat="false" ht="15" hidden="false" customHeight="false" outlineLevel="0" collapsed="false">
      <c r="B248" s="6" t="s">
        <v>259</v>
      </c>
      <c r="C248" s="15"/>
    </row>
    <row r="249" customFormat="false" ht="15" hidden="false" customHeight="false" outlineLevel="0" collapsed="false">
      <c r="B249" s="6" t="s">
        <v>260</v>
      </c>
      <c r="C249" s="13"/>
    </row>
    <row r="250" customFormat="false" ht="15" hidden="false" customHeight="false" outlineLevel="0" collapsed="false">
      <c r="B250" s="6" t="s">
        <v>261</v>
      </c>
      <c r="C250" s="15" t="n">
        <v>0</v>
      </c>
    </row>
    <row r="251" customFormat="false" ht="15" hidden="false" customHeight="false" outlineLevel="0" collapsed="false">
      <c r="B251" s="6" t="s">
        <v>262</v>
      </c>
      <c r="C251" s="13" t="s">
        <v>263</v>
      </c>
      <c r="F251" s="5" t="s">
        <v>264</v>
      </c>
    </row>
    <row r="252" customFormat="false" ht="15" hidden="false" customHeight="false" outlineLevel="0" collapsed="false">
      <c r="B252" s="6" t="s">
        <v>265</v>
      </c>
      <c r="C252" s="13" t="s">
        <v>266</v>
      </c>
    </row>
    <row r="253" customFormat="false" ht="15" hidden="false" customHeight="false" outlineLevel="0" collapsed="false">
      <c r="B253" s="6" t="s">
        <v>267</v>
      </c>
      <c r="C253" s="13" t="s">
        <v>268</v>
      </c>
      <c r="F253" s="5" t="s">
        <v>269</v>
      </c>
    </row>
    <row r="254" customFormat="false" ht="15" hidden="false" customHeight="false" outlineLevel="0" collapsed="false">
      <c r="B254" s="6" t="s">
        <v>270</v>
      </c>
      <c r="C254" s="15" t="n">
        <v>300000</v>
      </c>
    </row>
    <row r="255" customFormat="false" ht="15" hidden="false" customHeight="false" outlineLevel="0" collapsed="false">
      <c r="B255" s="6" t="s">
        <v>271</v>
      </c>
      <c r="C255" s="13" t="s">
        <v>268</v>
      </c>
    </row>
    <row r="256" customFormat="false" ht="15" hidden="false" customHeight="false" outlineLevel="0" collapsed="false">
      <c r="B256" s="6" t="s">
        <v>138</v>
      </c>
      <c r="C256" s="15"/>
    </row>
    <row r="257" customFormat="false" ht="15" hidden="false" customHeight="false" outlineLevel="0" collapsed="false">
      <c r="B257" s="6" t="s">
        <v>272</v>
      </c>
      <c r="C257" s="15" t="n">
        <v>813794</v>
      </c>
      <c r="F257" s="5" t="s">
        <v>273</v>
      </c>
    </row>
    <row r="259" customFormat="false" ht="17.35" hidden="false" customHeight="false" outlineLevel="0" collapsed="false">
      <c r="B259" s="4" t="s">
        <v>274</v>
      </c>
    </row>
    <row r="260" customFormat="false" ht="15" hidden="false" customHeight="false" outlineLevel="0" collapsed="false">
      <c r="B260" s="6" t="s">
        <v>275</v>
      </c>
      <c r="C260" s="13" t="s">
        <v>39</v>
      </c>
    </row>
    <row r="261" customFormat="false" ht="15" hidden="false" customHeight="false" outlineLevel="0" collapsed="false">
      <c r="B261" s="6" t="s">
        <v>276</v>
      </c>
      <c r="C261" s="14" t="n">
        <v>46315</v>
      </c>
    </row>
    <row r="262" customFormat="false" ht="15" hidden="false" customHeight="false" outlineLevel="0" collapsed="false">
      <c r="B262" s="6" t="s">
        <v>277</v>
      </c>
      <c r="C262" s="13" t="s">
        <v>278</v>
      </c>
    </row>
    <row r="263" customFormat="false" ht="15" hidden="false" customHeight="false" outlineLevel="0" collapsed="false">
      <c r="B263" s="6" t="s">
        <v>279</v>
      </c>
      <c r="C263" s="13" t="s">
        <v>280</v>
      </c>
    </row>
    <row r="264" customFormat="false" ht="15" hidden="false" customHeight="false" outlineLevel="0" collapsed="false">
      <c r="B264" s="6" t="s">
        <v>281</v>
      </c>
      <c r="C264" s="13" t="s">
        <v>282</v>
      </c>
    </row>
    <row r="265" customFormat="false" ht="15" hidden="false" customHeight="false" outlineLevel="0" collapsed="false">
      <c r="B265" s="6" t="s">
        <v>283</v>
      </c>
      <c r="C265" s="13"/>
    </row>
    <row r="266" customFormat="false" ht="15" hidden="false" customHeight="false" outlineLevel="0" collapsed="false">
      <c r="B266" s="6" t="s">
        <v>284</v>
      </c>
      <c r="C266" s="13"/>
    </row>
    <row r="267" customFormat="false" ht="15" hidden="false" customHeight="false" outlineLevel="0" collapsed="false">
      <c r="B267" s="6" t="s">
        <v>285</v>
      </c>
      <c r="C267" s="13"/>
    </row>
    <row r="268" customFormat="false" ht="15" hidden="false" customHeight="false" outlineLevel="0" collapsed="false">
      <c r="B268" s="6" t="s">
        <v>286</v>
      </c>
      <c r="C268" s="13"/>
    </row>
  </sheetData>
  <mergeCells count="17">
    <mergeCell ref="B2:F2"/>
    <mergeCell ref="B3:F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C229:D229"/>
    <mergeCell ref="C230:D230"/>
    <mergeCell ref="C231:D231"/>
    <mergeCell ref="C232:D232"/>
    <mergeCell ref="C234:D234"/>
    <mergeCell ref="C235:D235"/>
  </mergeCells>
  <dataValidations count="6">
    <dataValidation allowBlank="true" errorStyle="stop" operator="between" showDropDown="false" showErrorMessage="false" showInputMessage="false" sqref="C36" type="list">
      <formula1>"ay2026-27,sample-template,fo2025"</formula1>
      <formula2>0</formula2>
    </dataValidation>
    <dataValidation allowBlank="true" errorStyle="stop" operator="between" showDropDown="false" showErrorMessage="false" showInputMessage="false" sqref="C44 C47:C52 C195 C200" type="list">
      <formula1>"Yes,No"</formula1>
      <formula2>0</formula2>
    </dataValidation>
    <dataValidation allowBlank="true" errorStyle="stop" operator="between" showDropDown="false" showErrorMessage="false" showInputMessage="false" sqref="C45" type="list">
      <formula1>"Male,Female,Third gender"</formula1>
      <formula2>0</formula2>
    </dataValidation>
    <dataValidation allowBlank="true" errorStyle="stop" operator="between" showDropDown="false" showErrorMessage="false" showInputMessage="false" sqref="C54" type="list">
      <formula1>"Father,Husband"</formula1>
      <formula2>0</formula2>
    </dataValidation>
    <dataValidation allowBlank="true" errorStyle="stop" operator="between" showDropDown="false" showErrorMessage="false" showInputMessage="false" sqref="C101:E101" type="list">
      <formula1>"Residential,Commercial"</formula1>
      <formula2>0</formula2>
    </dataValidation>
    <dataValidation allowBlank="true" errorStyle="stop" operator="between" showDropDown="false" showErrorMessage="false" showInputMessage="false" sqref="C219" type="list">
      <formula1>"Automatic,Cash and bank,Gift and other receipts,None"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1.75"/>
    <col collapsed="false" customWidth="true" hidden="false" outlineLevel="0" max="2" min="2" style="0" width="26.25"/>
    <col collapsed="false" customWidth="true" hidden="false" outlineLevel="0" max="3" min="3" style="0" width="47.25"/>
    <col collapsed="false" customWidth="true" hidden="false" outlineLevel="0" max="6" min="4" style="0" width="14.88"/>
    <col collapsed="false" customWidth="true" hidden="false" outlineLevel="0" max="7" min="7" style="0" width="13.12"/>
  </cols>
  <sheetData>
    <row r="1" customFormat="false" ht="22.05" hidden="false" customHeight="false" outlineLevel="0" collapsed="false">
      <c r="B1" s="16" t="s">
        <v>25</v>
      </c>
    </row>
    <row r="2" customFormat="false" ht="15" hidden="false" customHeight="false" outlineLevel="0" collapsed="false">
      <c r="B2" s="6" t="s">
        <v>287</v>
      </c>
    </row>
    <row r="4" customFormat="false" ht="15" hidden="false" customHeight="false" outlineLevel="0" collapsed="false">
      <c r="A4" s="8"/>
      <c r="B4" s="8" t="s">
        <v>288</v>
      </c>
      <c r="C4" s="8" t="s">
        <v>289</v>
      </c>
      <c r="D4" s="8" t="s">
        <v>290</v>
      </c>
      <c r="E4" s="8" t="s">
        <v>26</v>
      </c>
      <c r="F4" s="8" t="s">
        <v>291</v>
      </c>
      <c r="G4" s="8" t="s">
        <v>292</v>
      </c>
    </row>
    <row r="5" customFormat="false" ht="15" hidden="false" customHeight="false" outlineLevel="0" collapsed="false">
      <c r="B5" s="17" t="s">
        <v>293</v>
      </c>
      <c r="C5" s="6" t="s">
        <v>294</v>
      </c>
      <c r="D5" s="18" t="n">
        <v>400000</v>
      </c>
      <c r="E5" s="18" t="n">
        <v>350000</v>
      </c>
      <c r="F5" s="18" t="n">
        <v>375000</v>
      </c>
      <c r="G5" s="19" t="n">
        <f aca="false">INDEX(D5:F5,MATCH(in_profile,rules_ids,0))</f>
        <v>350000</v>
      </c>
    </row>
    <row r="6" customFormat="false" ht="15" hidden="false" customHeight="false" outlineLevel="0" collapsed="false">
      <c r="B6" s="17" t="s">
        <v>295</v>
      </c>
      <c r="C6" s="6" t="s">
        <v>296</v>
      </c>
      <c r="D6" s="18" t="n">
        <v>450000</v>
      </c>
      <c r="E6" s="18" t="n">
        <v>400000</v>
      </c>
      <c r="F6" s="18" t="n">
        <v>425000</v>
      </c>
      <c r="G6" s="19" t="n">
        <f aca="false">INDEX(D6:F6,MATCH(in_profile,rules_ids,0))</f>
        <v>400000</v>
      </c>
    </row>
    <row r="7" customFormat="false" ht="15" hidden="false" customHeight="false" outlineLevel="0" collapsed="false">
      <c r="B7" s="17" t="s">
        <v>297</v>
      </c>
      <c r="C7" s="6" t="s">
        <v>298</v>
      </c>
      <c r="D7" s="18" t="n">
        <v>450000</v>
      </c>
      <c r="E7" s="18" t="n">
        <v>400000</v>
      </c>
      <c r="F7" s="18" t="n">
        <v>425000</v>
      </c>
      <c r="G7" s="19" t="n">
        <f aca="false">INDEX(D7:F7,MATCH(in_profile,rules_ids,0))</f>
        <v>400000</v>
      </c>
    </row>
    <row r="8" customFormat="false" ht="15" hidden="false" customHeight="false" outlineLevel="0" collapsed="false">
      <c r="B8" s="17" t="s">
        <v>299</v>
      </c>
      <c r="C8" s="6" t="s">
        <v>300</v>
      </c>
      <c r="D8" s="18" t="n">
        <v>525000</v>
      </c>
      <c r="E8" s="18" t="n">
        <v>475000</v>
      </c>
      <c r="F8" s="18" t="n">
        <v>500000</v>
      </c>
      <c r="G8" s="19" t="n">
        <f aca="false">INDEX(D8:F8,MATCH(in_profile,rules_ids,0))</f>
        <v>475000</v>
      </c>
    </row>
    <row r="9" customFormat="false" ht="15" hidden="false" customHeight="false" outlineLevel="0" collapsed="false">
      <c r="B9" s="17" t="s">
        <v>301</v>
      </c>
      <c r="C9" s="6" t="s">
        <v>302</v>
      </c>
      <c r="D9" s="18" t="n">
        <v>525000</v>
      </c>
      <c r="E9" s="18" t="n">
        <v>475000</v>
      </c>
      <c r="F9" s="18" t="n">
        <v>500000</v>
      </c>
      <c r="G9" s="19" t="n">
        <f aca="false">INDEX(D9:F9,MATCH(in_profile,rules_ids,0))</f>
        <v>475000</v>
      </c>
    </row>
    <row r="10" customFormat="false" ht="15" hidden="false" customHeight="false" outlineLevel="0" collapsed="false">
      <c r="B10" s="17" t="s">
        <v>303</v>
      </c>
      <c r="C10" s="6" t="s">
        <v>304</v>
      </c>
      <c r="D10" s="18" t="n">
        <v>550000</v>
      </c>
      <c r="E10" s="18" t="n">
        <v>500000</v>
      </c>
      <c r="F10" s="18" t="n">
        <v>525000</v>
      </c>
      <c r="G10" s="19" t="n">
        <f aca="false">INDEX(D10:F10,MATCH(in_profile,rules_ids,0))</f>
        <v>500000</v>
      </c>
    </row>
    <row r="11" customFormat="false" ht="15" hidden="false" customHeight="false" outlineLevel="0" collapsed="false">
      <c r="B11" s="17" t="s">
        <v>305</v>
      </c>
      <c r="C11" s="6" t="s">
        <v>306</v>
      </c>
      <c r="D11" s="18" t="n">
        <v>550000</v>
      </c>
      <c r="E11" s="18" t="n">
        <v>500000</v>
      </c>
      <c r="F11" s="18" t="n">
        <v>525000</v>
      </c>
      <c r="G11" s="19" t="n">
        <f aca="false">INDEX(D11:F11,MATCH(in_profile,rules_ids,0))</f>
        <v>500000</v>
      </c>
    </row>
    <row r="12" customFormat="false" ht="15" hidden="false" customHeight="false" outlineLevel="0" collapsed="false">
      <c r="B12" s="17" t="s">
        <v>307</v>
      </c>
      <c r="C12" s="6" t="s">
        <v>308</v>
      </c>
      <c r="D12" s="18" t="n">
        <v>50000</v>
      </c>
      <c r="E12" s="18" t="n">
        <v>50000</v>
      </c>
      <c r="F12" s="18" t="n">
        <v>50000</v>
      </c>
      <c r="G12" s="19" t="n">
        <f aca="false">INDEX(D12:F12,MATCH(in_profile,rules_ids,0))</f>
        <v>50000</v>
      </c>
    </row>
    <row r="13" customFormat="false" ht="15" hidden="false" customHeight="false" outlineLevel="0" collapsed="false">
      <c r="B13" s="17" t="s">
        <v>309</v>
      </c>
      <c r="C13" s="6" t="s">
        <v>310</v>
      </c>
      <c r="D13" s="18" t="n">
        <v>300000</v>
      </c>
      <c r="E13" s="18" t="n">
        <v>100000</v>
      </c>
      <c r="F13" s="18" t="n">
        <v>300000</v>
      </c>
      <c r="G13" s="19" t="n">
        <f aca="false">INDEX(D13:F13,MATCH(in_profile,rules_ids,0))</f>
        <v>100000</v>
      </c>
    </row>
    <row r="14" customFormat="false" ht="15" hidden="false" customHeight="false" outlineLevel="0" collapsed="false">
      <c r="B14" s="17" t="s">
        <v>311</v>
      </c>
      <c r="C14" s="6" t="s">
        <v>312</v>
      </c>
      <c r="D14" s="20" t="n">
        <v>0.1</v>
      </c>
      <c r="E14" s="20" t="n">
        <v>0.05</v>
      </c>
      <c r="F14" s="20" t="n">
        <v>0.1</v>
      </c>
      <c r="G14" s="21" t="n">
        <f aca="false">INDEX(D14:F14,MATCH(in_profile,rules_ids,0))</f>
        <v>0.05</v>
      </c>
    </row>
    <row r="15" customFormat="false" ht="15" hidden="false" customHeight="false" outlineLevel="0" collapsed="false">
      <c r="B15" s="17" t="s">
        <v>313</v>
      </c>
      <c r="C15" s="6" t="s">
        <v>314</v>
      </c>
      <c r="D15" s="18" t="n">
        <v>400000</v>
      </c>
      <c r="E15" s="18" t="n">
        <v>400000</v>
      </c>
      <c r="F15" s="18" t="n">
        <v>400000</v>
      </c>
      <c r="G15" s="19" t="n">
        <f aca="false">INDEX(D15:F15,MATCH(in_profile,rules_ids,0))</f>
        <v>400000</v>
      </c>
    </row>
    <row r="16" customFormat="false" ht="15" hidden="false" customHeight="false" outlineLevel="0" collapsed="false">
      <c r="B16" s="17" t="s">
        <v>315</v>
      </c>
      <c r="C16" s="6" t="s">
        <v>316</v>
      </c>
      <c r="D16" s="20" t="n">
        <v>0.15</v>
      </c>
      <c r="E16" s="20" t="n">
        <v>0.1</v>
      </c>
      <c r="F16" s="20" t="n">
        <v>0.15</v>
      </c>
      <c r="G16" s="21" t="n">
        <f aca="false">INDEX(D16:F16,MATCH(in_profile,rules_ids,0))</f>
        <v>0.1</v>
      </c>
    </row>
    <row r="17" customFormat="false" ht="15" hidden="false" customHeight="false" outlineLevel="0" collapsed="false">
      <c r="B17" s="17" t="s">
        <v>317</v>
      </c>
      <c r="C17" s="6" t="s">
        <v>318</v>
      </c>
      <c r="D17" s="18" t="n">
        <v>500000</v>
      </c>
      <c r="E17" s="18" t="n">
        <v>500000</v>
      </c>
      <c r="F17" s="18" t="n">
        <v>500000</v>
      </c>
      <c r="G17" s="19" t="n">
        <f aca="false">INDEX(D17:F17,MATCH(in_profile,rules_ids,0))</f>
        <v>500000</v>
      </c>
    </row>
    <row r="18" customFormat="false" ht="15" hidden="false" customHeight="false" outlineLevel="0" collapsed="false">
      <c r="B18" s="17" t="s">
        <v>319</v>
      </c>
      <c r="C18" s="6" t="s">
        <v>320</v>
      </c>
      <c r="D18" s="20" t="n">
        <v>0.2</v>
      </c>
      <c r="E18" s="20" t="n">
        <v>0.15</v>
      </c>
      <c r="F18" s="20" t="n">
        <v>0.2</v>
      </c>
      <c r="G18" s="21" t="n">
        <f aca="false">INDEX(D18:F18,MATCH(in_profile,rules_ids,0))</f>
        <v>0.15</v>
      </c>
    </row>
    <row r="19" customFormat="false" ht="15" hidden="false" customHeight="false" outlineLevel="0" collapsed="false">
      <c r="B19" s="17" t="s">
        <v>321</v>
      </c>
      <c r="C19" s="6" t="s">
        <v>322</v>
      </c>
      <c r="D19" s="18" t="n">
        <v>2000000</v>
      </c>
      <c r="E19" s="18" t="n">
        <v>500000</v>
      </c>
      <c r="F19" s="18" t="n">
        <v>2000000</v>
      </c>
      <c r="G19" s="19" t="n">
        <f aca="false">INDEX(D19:F19,MATCH(in_profile,rules_ids,0))</f>
        <v>500000</v>
      </c>
    </row>
    <row r="20" customFormat="false" ht="15" hidden="false" customHeight="false" outlineLevel="0" collapsed="false">
      <c r="B20" s="17" t="s">
        <v>323</v>
      </c>
      <c r="C20" s="6" t="s">
        <v>324</v>
      </c>
      <c r="D20" s="20" t="n">
        <v>0.25</v>
      </c>
      <c r="E20" s="20" t="n">
        <v>0.2</v>
      </c>
      <c r="F20" s="20" t="n">
        <v>0.25</v>
      </c>
      <c r="G20" s="21" t="n">
        <f aca="false">INDEX(D20:F20,MATCH(in_profile,rules_ids,0))</f>
        <v>0.2</v>
      </c>
    </row>
    <row r="21" customFormat="false" ht="15" hidden="false" customHeight="false" outlineLevel="0" collapsed="false">
      <c r="B21" s="17" t="s">
        <v>325</v>
      </c>
      <c r="C21" s="6" t="s">
        <v>326</v>
      </c>
      <c r="D21" s="20" t="n">
        <v>0.3</v>
      </c>
      <c r="E21" s="20" t="n">
        <v>0.25</v>
      </c>
      <c r="F21" s="20" t="n">
        <v>0.3</v>
      </c>
      <c r="G21" s="21" t="n">
        <f aca="false">INDEX(D21:F21,MATCH(in_profile,rules_ids,0))</f>
        <v>0.25</v>
      </c>
    </row>
    <row r="22" customFormat="false" ht="15" hidden="false" customHeight="false" outlineLevel="0" collapsed="false">
      <c r="B22" s="17" t="s">
        <v>327</v>
      </c>
      <c r="C22" s="6" t="s">
        <v>328</v>
      </c>
      <c r="D22" s="18" t="n">
        <v>5000</v>
      </c>
      <c r="E22" s="18" t="n">
        <v>5000</v>
      </c>
      <c r="F22" s="18" t="n">
        <v>5000</v>
      </c>
      <c r="G22" s="19" t="n">
        <f aca="false">INDEX(D22:F22,MATCH(in_profile,rules_ids,0))</f>
        <v>5000</v>
      </c>
    </row>
    <row r="23" customFormat="false" ht="15" hidden="false" customHeight="false" outlineLevel="0" collapsed="false">
      <c r="B23" s="17" t="s">
        <v>329</v>
      </c>
      <c r="C23" s="6" t="s">
        <v>330</v>
      </c>
      <c r="D23" s="18" t="n">
        <v>1000</v>
      </c>
      <c r="E23" s="18" t="n">
        <v>5000</v>
      </c>
      <c r="F23" s="18" t="n">
        <v>1000</v>
      </c>
      <c r="G23" s="19" t="n">
        <f aca="false">INDEX(D23:F23,MATCH(in_profile,rules_ids,0))</f>
        <v>5000</v>
      </c>
    </row>
    <row r="24" customFormat="false" ht="15" hidden="false" customHeight="false" outlineLevel="0" collapsed="false">
      <c r="B24" s="17" t="s">
        <v>331</v>
      </c>
      <c r="C24" s="6" t="s">
        <v>332</v>
      </c>
      <c r="D24" s="20" t="n">
        <v>0.03</v>
      </c>
      <c r="E24" s="20" t="n">
        <v>0.03</v>
      </c>
      <c r="F24" s="20" t="n">
        <v>0.03</v>
      </c>
      <c r="G24" s="21" t="n">
        <f aca="false">INDEX(D24:F24,MATCH(in_profile,rules_ids,0))</f>
        <v>0.03</v>
      </c>
    </row>
    <row r="25" customFormat="false" ht="15" hidden="false" customHeight="false" outlineLevel="0" collapsed="false">
      <c r="B25" s="17" t="s">
        <v>333</v>
      </c>
      <c r="C25" s="6" t="s">
        <v>334</v>
      </c>
      <c r="D25" s="20" t="n">
        <v>0.15</v>
      </c>
      <c r="E25" s="20" t="n">
        <v>0.15</v>
      </c>
      <c r="F25" s="20" t="n">
        <v>0.15</v>
      </c>
      <c r="G25" s="21" t="n">
        <f aca="false">INDEX(D25:F25,MATCH(in_profile,rules_ids,0))</f>
        <v>0.15</v>
      </c>
    </row>
    <row r="26" customFormat="false" ht="15" hidden="false" customHeight="false" outlineLevel="0" collapsed="false">
      <c r="B26" s="17" t="s">
        <v>335</v>
      </c>
      <c r="C26" s="6" t="s">
        <v>336</v>
      </c>
      <c r="D26" s="18" t="n">
        <v>1000000</v>
      </c>
      <c r="E26" s="18" t="n">
        <v>1000000</v>
      </c>
      <c r="F26" s="18" t="n">
        <v>1000000</v>
      </c>
      <c r="G26" s="19" t="n">
        <f aca="false">INDEX(D26:F26,MATCH(in_profile,rules_ids,0))</f>
        <v>1000000</v>
      </c>
    </row>
    <row r="27" customFormat="false" ht="15" hidden="false" customHeight="false" outlineLevel="0" collapsed="false">
      <c r="B27" s="17" t="s">
        <v>337</v>
      </c>
      <c r="C27" s="6" t="s">
        <v>338</v>
      </c>
      <c r="D27" s="22" t="n">
        <v>0.333333333333</v>
      </c>
      <c r="E27" s="22" t="n">
        <v>0.333333333333</v>
      </c>
      <c r="F27" s="22" t="n">
        <v>0.333333333333</v>
      </c>
      <c r="G27" s="23" t="n">
        <f aca="false">INDEX(D27:F27,MATCH(in_profile,rules_ids,0))</f>
        <v>0.333333333333</v>
      </c>
    </row>
    <row r="28" customFormat="false" ht="15" hidden="false" customHeight="false" outlineLevel="0" collapsed="false">
      <c r="B28" s="17" t="s">
        <v>339</v>
      </c>
      <c r="C28" s="6" t="s">
        <v>340</v>
      </c>
      <c r="D28" s="18" t="n">
        <v>500000</v>
      </c>
      <c r="E28" s="18" t="n">
        <v>450000</v>
      </c>
      <c r="F28" s="18" t="n">
        <v>500000</v>
      </c>
      <c r="G28" s="19" t="n">
        <f aca="false">INDEX(D28:F28,MATCH(in_profile,rules_ids,0))</f>
        <v>450000</v>
      </c>
    </row>
    <row r="29" customFormat="false" ht="15" hidden="false" customHeight="false" outlineLevel="0" collapsed="false">
      <c r="B29" s="17" t="s">
        <v>341</v>
      </c>
      <c r="C29" s="6" t="s">
        <v>342</v>
      </c>
      <c r="D29" s="20" t="n">
        <v>0.25</v>
      </c>
      <c r="E29" s="20" t="n">
        <v>0.25</v>
      </c>
      <c r="F29" s="20" t="n">
        <v>0.25</v>
      </c>
      <c r="G29" s="21" t="n">
        <f aca="false">INDEX(D29:F29,MATCH(in_profile,rules_ids,0))</f>
        <v>0.25</v>
      </c>
    </row>
    <row r="30" customFormat="false" ht="15" hidden="false" customHeight="false" outlineLevel="0" collapsed="false">
      <c r="B30" s="17" t="s">
        <v>343</v>
      </c>
      <c r="C30" s="6" t="s">
        <v>344</v>
      </c>
      <c r="D30" s="20" t="n">
        <v>0.3</v>
      </c>
      <c r="E30" s="20" t="n">
        <v>0.3</v>
      </c>
      <c r="F30" s="20" t="n">
        <v>0.3</v>
      </c>
      <c r="G30" s="21" t="n">
        <f aca="false">INDEX(D30:F30,MATCH(in_profile,rules_ids,0))</f>
        <v>0.3</v>
      </c>
    </row>
    <row r="31" customFormat="false" ht="15" hidden="false" customHeight="false" outlineLevel="0" collapsed="false">
      <c r="B31" s="17" t="s">
        <v>345</v>
      </c>
      <c r="C31" s="6" t="s">
        <v>346</v>
      </c>
      <c r="D31" s="18" t="n">
        <v>40000000</v>
      </c>
      <c r="E31" s="18" t="n">
        <v>40000000</v>
      </c>
      <c r="F31" s="18" t="n">
        <v>40000000</v>
      </c>
      <c r="G31" s="19" t="n">
        <f aca="false">INDEX(D31:F31,MATCH(in_profile,rules_ids,0))</f>
        <v>40000000</v>
      </c>
    </row>
    <row r="32" customFormat="false" ht="15" hidden="false" customHeight="false" outlineLevel="0" collapsed="false">
      <c r="B32" s="17" t="s">
        <v>347</v>
      </c>
      <c r="C32" s="6" t="s">
        <v>348</v>
      </c>
      <c r="D32" s="18" t="n">
        <v>100000000</v>
      </c>
      <c r="E32" s="18" t="n">
        <v>100000000</v>
      </c>
      <c r="F32" s="18" t="n">
        <v>100000000</v>
      </c>
      <c r="G32" s="19" t="n">
        <f aca="false">INDEX(D32:F32,MATCH(in_profile,rules_ids,0))</f>
        <v>100000000</v>
      </c>
    </row>
    <row r="33" customFormat="false" ht="15" hidden="false" customHeight="false" outlineLevel="0" collapsed="false">
      <c r="B33" s="17" t="s">
        <v>349</v>
      </c>
      <c r="C33" s="6" t="s">
        <v>350</v>
      </c>
      <c r="D33" s="18" t="n">
        <v>200000000</v>
      </c>
      <c r="E33" s="18" t="n">
        <v>200000000</v>
      </c>
      <c r="F33" s="18" t="n">
        <v>200000000</v>
      </c>
      <c r="G33" s="19" t="n">
        <f aca="false">INDEX(D33:F33,MATCH(in_profile,rules_ids,0))</f>
        <v>200000000</v>
      </c>
    </row>
    <row r="34" customFormat="false" ht="15" hidden="false" customHeight="false" outlineLevel="0" collapsed="false">
      <c r="B34" s="17" t="s">
        <v>351</v>
      </c>
      <c r="C34" s="6" t="s">
        <v>352</v>
      </c>
      <c r="D34" s="18" t="n">
        <v>500000000</v>
      </c>
      <c r="E34" s="18" t="n">
        <v>500000000</v>
      </c>
      <c r="F34" s="18" t="n">
        <v>500000000</v>
      </c>
      <c r="G34" s="19" t="n">
        <f aca="false">INDEX(D34:F34,MATCH(in_profile,rules_ids,0))</f>
        <v>500000000</v>
      </c>
    </row>
    <row r="35" customFormat="false" ht="15" hidden="false" customHeight="false" outlineLevel="0" collapsed="false">
      <c r="B35" s="17" t="s">
        <v>353</v>
      </c>
      <c r="C35" s="6" t="s">
        <v>354</v>
      </c>
      <c r="D35" s="20" t="n">
        <v>0</v>
      </c>
      <c r="E35" s="20" t="n">
        <v>0</v>
      </c>
      <c r="F35" s="20" t="n">
        <v>0</v>
      </c>
      <c r="G35" s="21" t="n">
        <f aca="false">INDEX(D35:F35,MATCH(in_profile,rules_ids,0))</f>
        <v>0</v>
      </c>
    </row>
    <row r="36" customFormat="false" ht="15" hidden="false" customHeight="false" outlineLevel="0" collapsed="false">
      <c r="B36" s="17" t="s">
        <v>355</v>
      </c>
      <c r="C36" s="6" t="s">
        <v>356</v>
      </c>
      <c r="D36" s="20" t="n">
        <v>0.1</v>
      </c>
      <c r="E36" s="20" t="n">
        <v>0.1</v>
      </c>
      <c r="F36" s="20" t="n">
        <v>0.1</v>
      </c>
      <c r="G36" s="21" t="n">
        <f aca="false">INDEX(D36:F36,MATCH(in_profile,rules_ids,0))</f>
        <v>0.1</v>
      </c>
    </row>
    <row r="37" customFormat="false" ht="15" hidden="false" customHeight="false" outlineLevel="0" collapsed="false">
      <c r="B37" s="17" t="s">
        <v>357</v>
      </c>
      <c r="C37" s="6" t="s">
        <v>358</v>
      </c>
      <c r="D37" s="20" t="n">
        <v>0.2</v>
      </c>
      <c r="E37" s="20" t="n">
        <v>0.2</v>
      </c>
      <c r="F37" s="20" t="n">
        <v>0.2</v>
      </c>
      <c r="G37" s="21" t="n">
        <f aca="false">INDEX(D37:F37,MATCH(in_profile,rules_ids,0))</f>
        <v>0.2</v>
      </c>
    </row>
    <row r="38" customFormat="false" ht="15" hidden="false" customHeight="false" outlineLevel="0" collapsed="false">
      <c r="B38" s="17" t="s">
        <v>359</v>
      </c>
      <c r="C38" s="6" t="s">
        <v>360</v>
      </c>
      <c r="D38" s="20" t="n">
        <v>0.3</v>
      </c>
      <c r="E38" s="20" t="n">
        <v>0.3</v>
      </c>
      <c r="F38" s="20" t="n">
        <v>0.3</v>
      </c>
      <c r="G38" s="21" t="n">
        <f aca="false">INDEX(D38:F38,MATCH(in_profile,rules_ids,0))</f>
        <v>0.3</v>
      </c>
    </row>
    <row r="39" customFormat="false" ht="15" hidden="false" customHeight="false" outlineLevel="0" collapsed="false">
      <c r="B39" s="17" t="s">
        <v>361</v>
      </c>
      <c r="C39" s="6" t="s">
        <v>362</v>
      </c>
      <c r="D39" s="20" t="n">
        <v>0.35</v>
      </c>
      <c r="E39" s="20" t="n">
        <v>0.35</v>
      </c>
      <c r="F39" s="20" t="n">
        <v>0.35</v>
      </c>
      <c r="G39" s="21" t="n">
        <f aca="false">INDEX(D39:F39,MATCH(in_profile,rules_ids,0))</f>
        <v>0.35</v>
      </c>
    </row>
    <row r="40" customFormat="false" ht="15" hidden="false" customHeight="false" outlineLevel="0" collapsed="false">
      <c r="B40" s="17" t="s">
        <v>363</v>
      </c>
      <c r="C40" s="6" t="s">
        <v>364</v>
      </c>
      <c r="D40" s="24" t="n">
        <v>1</v>
      </c>
      <c r="E40" s="24" t="n">
        <v>0</v>
      </c>
      <c r="F40" s="24" t="n">
        <v>0</v>
      </c>
      <c r="G40" s="25" t="n">
        <f aca="false">INDEX(D40:F40,MATCH(in_profile,rules_ids,0))</f>
        <v>0</v>
      </c>
    </row>
    <row r="41" customFormat="false" ht="15" hidden="false" customHeight="false" outlineLevel="0" collapsed="false">
      <c r="B41" s="17" t="s">
        <v>365</v>
      </c>
      <c r="C41" s="6" t="s">
        <v>366</v>
      </c>
      <c r="D41" s="20" t="n">
        <v>0.1</v>
      </c>
      <c r="E41" s="20" t="n">
        <v>0.1</v>
      </c>
      <c r="F41" s="20" t="n">
        <v>0.1</v>
      </c>
      <c r="G41" s="21" t="n">
        <f aca="false">INDEX(D41:F41,MATCH(in_profile,rules_ids,0))</f>
        <v>0.1</v>
      </c>
    </row>
    <row r="42" customFormat="false" ht="15" hidden="false" customHeight="false" outlineLevel="0" collapsed="false">
      <c r="B42" s="17" t="s">
        <v>367</v>
      </c>
      <c r="C42" s="6" t="s">
        <v>368</v>
      </c>
      <c r="D42" s="24" t="n">
        <v>1</v>
      </c>
      <c r="E42" s="24" t="n">
        <v>1</v>
      </c>
      <c r="F42" s="24" t="n">
        <v>1</v>
      </c>
      <c r="G42" s="25" t="n">
        <f aca="false">INDEX(D42:F42,MATCH(in_profile,rules_ids,0))</f>
        <v>1</v>
      </c>
    </row>
    <row r="43" customFormat="false" ht="15" hidden="false" customHeight="false" outlineLevel="0" collapsed="false">
      <c r="B43" s="17" t="s">
        <v>369</v>
      </c>
      <c r="C43" s="6" t="s">
        <v>370</v>
      </c>
      <c r="D43" s="24" t="n">
        <v>1</v>
      </c>
      <c r="E43" s="24" t="n">
        <v>0</v>
      </c>
      <c r="F43" s="24" t="n">
        <v>1</v>
      </c>
      <c r="G43" s="25" t="n">
        <f aca="false">INDEX(D43:F43,MATCH(in_profile,rules_ids,0))</f>
        <v>0</v>
      </c>
    </row>
    <row r="44" customFormat="false" ht="15" hidden="false" customHeight="false" outlineLevel="0" collapsed="false">
      <c r="B44" s="17" t="s">
        <v>371</v>
      </c>
      <c r="C44" s="6" t="s">
        <v>372</v>
      </c>
      <c r="D44" s="24" t="n">
        <v>0</v>
      </c>
      <c r="E44" s="24" t="n">
        <v>0</v>
      </c>
      <c r="F44" s="24" t="n">
        <v>0</v>
      </c>
      <c r="G44" s="25" t="n">
        <f aca="false">INDEX(D44:F44,MATCH(in_profile,rules_ids,0))</f>
        <v>0</v>
      </c>
    </row>
    <row r="45" customFormat="false" ht="15" hidden="false" customHeight="false" outlineLevel="0" collapsed="false">
      <c r="B45" s="17" t="s">
        <v>373</v>
      </c>
      <c r="C45" s="6" t="s">
        <v>374</v>
      </c>
      <c r="D45" s="24" t="n">
        <v>0</v>
      </c>
      <c r="E45" s="24" t="n">
        <v>0</v>
      </c>
      <c r="F45" s="24" t="n">
        <v>0</v>
      </c>
      <c r="G45" s="25" t="n">
        <f aca="false">INDEX(D45:F45,MATCH(in_profile,rules_ids,0))</f>
        <v>0</v>
      </c>
    </row>
    <row r="46" customFormat="false" ht="15" hidden="false" customHeight="false" outlineLevel="0" collapsed="false">
      <c r="B46" s="17" t="s">
        <v>375</v>
      </c>
      <c r="C46" s="6" t="s">
        <v>376</v>
      </c>
      <c r="D46" s="24" t="n">
        <v>0</v>
      </c>
      <c r="E46" s="24" t="n">
        <v>0</v>
      </c>
      <c r="F46" s="24" t="n">
        <v>0</v>
      </c>
      <c r="G46" s="25" t="n">
        <f aca="false">INDEX(D46:F46,MATCH(in_profile,rules_ids,0))</f>
        <v>0</v>
      </c>
    </row>
    <row r="47" customFormat="false" ht="15" hidden="false" customHeight="false" outlineLevel="0" collapsed="false">
      <c r="B47" s="17" t="s">
        <v>377</v>
      </c>
      <c r="C47" s="6" t="s">
        <v>378</v>
      </c>
      <c r="D47" s="24" t="n">
        <v>0</v>
      </c>
      <c r="E47" s="24" t="n">
        <v>0</v>
      </c>
      <c r="F47" s="24" t="n">
        <v>0</v>
      </c>
      <c r="G47" s="25" t="n">
        <f aca="false">INDEX(D47:F47,MATCH(in_profile,rules_ids,0))</f>
        <v>0</v>
      </c>
    </row>
    <row r="48" customFormat="false" ht="15" hidden="false" customHeight="false" outlineLevel="0" collapsed="false">
      <c r="B48" s="17" t="s">
        <v>379</v>
      </c>
      <c r="C48" s="6" t="s">
        <v>380</v>
      </c>
      <c r="D48" s="24" t="n">
        <v>1</v>
      </c>
      <c r="E48" s="24" t="n">
        <v>1</v>
      </c>
      <c r="F48" s="24" t="n">
        <v>1</v>
      </c>
      <c r="G48" s="25" t="n">
        <f aca="false">INDEX(D48:F48,MATCH(in_profile,rules_ids,0))</f>
        <v>1</v>
      </c>
    </row>
    <row r="49" customFormat="false" ht="15" hidden="false" customHeight="false" outlineLevel="0" collapsed="false">
      <c r="B49" s="17" t="s">
        <v>381</v>
      </c>
      <c r="C49" s="6" t="s">
        <v>382</v>
      </c>
      <c r="D49" s="24" t="n">
        <v>0</v>
      </c>
      <c r="E49" s="24" t="n">
        <v>0</v>
      </c>
      <c r="F49" s="24" t="n">
        <v>0</v>
      </c>
      <c r="G49" s="25" t="n">
        <f aca="false">INDEX(D49:F49,MATCH(in_profile,rules_ids,0))</f>
        <v>0</v>
      </c>
    </row>
    <row r="50" customFormat="false" ht="15" hidden="false" customHeight="false" outlineLevel="0" collapsed="false">
      <c r="B50" s="17" t="s">
        <v>383</v>
      </c>
      <c r="C50" s="6" t="s">
        <v>384</v>
      </c>
      <c r="D50" s="24" t="n">
        <v>0</v>
      </c>
      <c r="E50" s="24" t="n">
        <v>0</v>
      </c>
      <c r="F50" s="24" t="n">
        <v>0</v>
      </c>
      <c r="G50" s="25" t="n">
        <f aca="false">INDEX(D50:F50,MATCH(in_profile,rules_ids,0))</f>
        <v>0</v>
      </c>
    </row>
    <row r="51" customFormat="false" ht="15" hidden="false" customHeight="false" outlineLevel="0" collapsed="false">
      <c r="B51" s="17" t="s">
        <v>385</v>
      </c>
      <c r="C51" s="6" t="s">
        <v>386</v>
      </c>
      <c r="D51" s="24" t="n">
        <v>0</v>
      </c>
      <c r="E51" s="24" t="n">
        <v>0</v>
      </c>
      <c r="F51" s="24" t="n">
        <v>0</v>
      </c>
      <c r="G51" s="25" t="n">
        <f aca="false">INDEX(D51:F51,MATCH(in_profile,rules_ids,0))</f>
        <v>0</v>
      </c>
    </row>
    <row r="52" customFormat="false" ht="15" hidden="false" customHeight="false" outlineLevel="0" collapsed="false">
      <c r="B52" s="17" t="s">
        <v>387</v>
      </c>
      <c r="C52" s="6" t="s">
        <v>388</v>
      </c>
      <c r="D52" s="24" t="n">
        <v>0</v>
      </c>
      <c r="E52" s="24" t="n">
        <v>0</v>
      </c>
      <c r="F52" s="24" t="n">
        <v>0</v>
      </c>
      <c r="G52" s="25" t="n">
        <f aca="false">INDEX(D52:F52,MATCH(in_profile,rules_ids,0))</f>
        <v>0</v>
      </c>
    </row>
    <row r="53" customFormat="false" ht="15" hidden="false" customHeight="false" outlineLevel="0" collapsed="false">
      <c r="B53" s="17" t="s">
        <v>389</v>
      </c>
      <c r="C53" s="6" t="s">
        <v>390</v>
      </c>
      <c r="D53" s="24" t="n">
        <v>0</v>
      </c>
      <c r="E53" s="24" t="n">
        <v>0</v>
      </c>
      <c r="F53" s="24" t="n">
        <v>0</v>
      </c>
      <c r="G53" s="25" t="n">
        <f aca="false">INDEX(D53:F53,MATCH(in_profile,rules_ids,0))</f>
        <v>0</v>
      </c>
    </row>
    <row r="54" customFormat="false" ht="15" hidden="false" customHeight="false" outlineLevel="0" collapsed="false">
      <c r="B54" s="17" t="s">
        <v>391</v>
      </c>
      <c r="C54" s="6" t="s">
        <v>392</v>
      </c>
      <c r="D54" s="24" t="n">
        <v>0</v>
      </c>
      <c r="E54" s="24" t="n">
        <v>0</v>
      </c>
      <c r="F54" s="24" t="n">
        <v>0</v>
      </c>
      <c r="G54" s="25" t="n">
        <f aca="false">INDEX(D54:F54,MATCH(in_profile,rules_ids,0))</f>
        <v>0</v>
      </c>
    </row>
    <row r="55" customFormat="false" ht="15" hidden="false" customHeight="false" outlineLevel="0" collapsed="false">
      <c r="B55" s="17" t="s">
        <v>393</v>
      </c>
      <c r="C55" s="6" t="s">
        <v>394</v>
      </c>
      <c r="D55" s="24" t="n">
        <v>0</v>
      </c>
      <c r="E55" s="24" t="n">
        <v>0</v>
      </c>
      <c r="F55" s="24" t="n">
        <v>0</v>
      </c>
      <c r="G55" s="25" t="n">
        <f aca="false">INDEX(D55:F55,MATCH(in_profile,rules_ids,0))</f>
        <v>0</v>
      </c>
    </row>
    <row r="56" customFormat="false" ht="15" hidden="false" customHeight="false" outlineLevel="0" collapsed="false">
      <c r="B56" s="17" t="s">
        <v>395</v>
      </c>
      <c r="C56" s="6" t="s">
        <v>396</v>
      </c>
      <c r="D56" s="24" t="n">
        <v>0</v>
      </c>
      <c r="E56" s="24" t="n">
        <v>0</v>
      </c>
      <c r="F56" s="24" t="n">
        <v>0</v>
      </c>
      <c r="G56" s="25" t="n">
        <f aca="false">INDEX(D56:F56,MATCH(in_profile,rules_ids,0))</f>
        <v>0</v>
      </c>
    </row>
    <row r="57" customFormat="false" ht="15" hidden="false" customHeight="false" outlineLevel="0" collapsed="false">
      <c r="B57" s="17" t="s">
        <v>397</v>
      </c>
      <c r="C57" s="6" t="s">
        <v>398</v>
      </c>
      <c r="D57" s="24" t="n">
        <v>0</v>
      </c>
      <c r="E57" s="24" t="n">
        <v>0</v>
      </c>
      <c r="F57" s="24" t="n">
        <v>0</v>
      </c>
      <c r="G57" s="25" t="n">
        <f aca="false">INDEX(D57:F57,MATCH(in_profile,rules_ids,0))</f>
        <v>0</v>
      </c>
    </row>
    <row r="59" customFormat="false" ht="15" hidden="false" customHeight="false" outlineLevel="0" collapsed="false">
      <c r="B59" s="17" t="s">
        <v>399</v>
      </c>
      <c r="C59" s="6" t="s">
        <v>400</v>
      </c>
      <c r="D59" s="26" t="s">
        <v>401</v>
      </c>
      <c r="E59" s="26" t="s">
        <v>402</v>
      </c>
      <c r="F59" s="26" t="s">
        <v>403</v>
      </c>
      <c r="G59" s="0" t="str">
        <f aca="false">INDEX(D59:F59,MATCH(in_profile,rules_ids,0))</f>
        <v>This profile copies the sample template, which still uses the older slab table (5% band). Reports on AY 2026-27 say the 5% band was removed and thresholds were raised. Use it to reproduce the sample or when you have confirmed it is right for your case.</v>
      </c>
    </row>
    <row r="61" customFormat="false" ht="15" hidden="false" customHeight="false" outlineLevel="0" collapsed="false">
      <c r="B61" s="8" t="s">
        <v>404</v>
      </c>
    </row>
    <row r="62" customFormat="false" ht="15" hidden="false" customHeight="false" outlineLevel="0" collapsed="false">
      <c r="C62" s="27" t="s">
        <v>405</v>
      </c>
    </row>
    <row r="63" customFormat="false" ht="15" hidden="false" customHeight="false" outlineLevel="0" collapsed="false">
      <c r="C63" s="27" t="s">
        <v>406</v>
      </c>
    </row>
    <row r="64" customFormat="false" ht="15" hidden="false" customHeight="false" outlineLevel="0" collapsed="false">
      <c r="C64" s="27" t="s">
        <v>407</v>
      </c>
    </row>
    <row r="65" customFormat="false" ht="15" hidden="false" customHeight="false" outlineLevel="0" collapsed="false">
      <c r="C65" s="27" t="s">
        <v>408</v>
      </c>
    </row>
    <row r="66" customFormat="false" ht="15" hidden="false" customHeight="false" outlineLevel="0" collapsed="false">
      <c r="C66" s="27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4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1.75"/>
    <col collapsed="false" customWidth="true" hidden="false" outlineLevel="0" max="2" min="2" style="0" width="19.25"/>
    <col collapsed="false" customWidth="true" hidden="false" outlineLevel="0" max="3" min="3" style="0" width="45.5"/>
    <col collapsed="false" customWidth="true" hidden="false" outlineLevel="0" max="4" min="4" style="0" width="19.25"/>
  </cols>
  <sheetData>
    <row r="1" customFormat="false" ht="22.05" hidden="false" customHeight="false" outlineLevel="0" collapsed="false">
      <c r="B1" s="16" t="s">
        <v>410</v>
      </c>
    </row>
    <row r="2" customFormat="false" ht="15" hidden="false" customHeight="false" outlineLevel="0" collapsed="false">
      <c r="B2" s="6" t="s">
        <v>411</v>
      </c>
    </row>
    <row r="4" customFormat="false" ht="15" hidden="false" customHeight="false" outlineLevel="0" collapsed="false">
      <c r="B4" s="17" t="s">
        <v>412</v>
      </c>
      <c r="C4" s="6" t="s">
        <v>22</v>
      </c>
      <c r="D4" s="28" t="str">
        <f aca="false">in_ay&amp;""</f>
        <v>2026-2027</v>
      </c>
    </row>
    <row r="5" customFormat="false" ht="15" hidden="false" customHeight="false" outlineLevel="0" collapsed="false">
      <c r="B5" s="17" t="s">
        <v>413</v>
      </c>
      <c r="C5" s="6" t="s">
        <v>414</v>
      </c>
      <c r="D5" s="28" t="n">
        <f aca="false">VALUE(LEFT(in_ay,4))</f>
        <v>2026</v>
      </c>
    </row>
    <row r="6" customFormat="false" ht="15" hidden="false" customHeight="false" outlineLevel="0" collapsed="false">
      <c r="B6" s="17" t="s">
        <v>415</v>
      </c>
      <c r="C6" s="6" t="s">
        <v>416</v>
      </c>
      <c r="D6" s="28" t="str">
        <f aca="false">"6/30/"&amp;v_ay_start</f>
        <v>6/30/2026</v>
      </c>
    </row>
    <row r="7" customFormat="false" ht="15" hidden="false" customHeight="false" outlineLevel="0" collapsed="false">
      <c r="B7" s="17" t="s">
        <v>417</v>
      </c>
      <c r="C7" s="6" t="s">
        <v>418</v>
      </c>
      <c r="D7" s="28" t="str">
        <f aca="false">"30-Jun-"&amp;RIGHT(v_ay_start,2)</f>
        <v>30-Jun-26</v>
      </c>
    </row>
    <row r="8" customFormat="false" ht="15" hidden="false" customHeight="false" outlineLevel="0" collapsed="false">
      <c r="B8" s="17" t="s">
        <v>419</v>
      </c>
      <c r="C8" s="6" t="s">
        <v>420</v>
      </c>
      <c r="D8" s="28" t="str">
        <f aca="false">TRIM(in_name&amp;"")</f>
        <v>Sample Taxpayer</v>
      </c>
    </row>
    <row r="9" customFormat="false" ht="15" hidden="false" customHeight="false" outlineLevel="0" collapsed="false">
      <c r="B9" s="17" t="s">
        <v>421</v>
      </c>
      <c r="C9" s="6" t="s">
        <v>422</v>
      </c>
      <c r="D9" s="28" t="str">
        <f aca="false">"Name: "&amp;v_name</f>
        <v>Name: Sample Taxpayer</v>
      </c>
    </row>
    <row r="10" customFormat="false" ht="15" hidden="false" customHeight="false" outlineLevel="0" collapsed="false">
      <c r="B10" s="17" t="s">
        <v>423</v>
      </c>
      <c r="C10" s="6" t="s">
        <v>424</v>
      </c>
      <c r="D10" s="28" t="str">
        <f aca="false">SUBSTITUTE(SUBSTITUTE(SUBSTITUTE(TRIM(in_tin&amp;"")," ",""),"-",""),".","")</f>
        <v>111122223333</v>
      </c>
    </row>
    <row r="11" customFormat="false" ht="15" hidden="false" customHeight="false" outlineLevel="0" collapsed="false">
      <c r="B11" s="17" t="s">
        <v>425</v>
      </c>
      <c r="C11" s="6" t="s">
        <v>426</v>
      </c>
      <c r="D11" s="28" t="str">
        <f aca="false">in_nid&amp;""</f>
        <v>1234567890</v>
      </c>
    </row>
    <row r="12" customFormat="false" ht="15" hidden="false" customHeight="false" outlineLevel="0" collapsed="false">
      <c r="B12" s="17" t="s">
        <v>427</v>
      </c>
      <c r="C12" s="6" t="s">
        <v>36</v>
      </c>
      <c r="D12" s="28" t="str">
        <f aca="false">in_circle&amp;""</f>
        <v>000</v>
      </c>
    </row>
    <row r="13" customFormat="false" ht="15" hidden="false" customHeight="false" outlineLevel="0" collapsed="false">
      <c r="B13" s="17" t="s">
        <v>428</v>
      </c>
      <c r="C13" s="6" t="s">
        <v>429</v>
      </c>
      <c r="D13" s="28" t="str">
        <f aca="false">in_zone&amp;""</f>
        <v>Cumilla</v>
      </c>
    </row>
    <row r="14" customFormat="false" ht="15" hidden="false" customHeight="false" outlineLevel="0" collapsed="false">
      <c r="B14" s="17" t="s">
        <v>430</v>
      </c>
      <c r="C14" s="6" t="s">
        <v>431</v>
      </c>
      <c r="D14" s="28" t="str">
        <f aca="false">in_spouse&amp;""</f>
        <v/>
      </c>
    </row>
    <row r="15" customFormat="false" ht="15" hidden="false" customHeight="false" outlineLevel="0" collapsed="false">
      <c r="B15" s="17" t="s">
        <v>432</v>
      </c>
      <c r="C15" s="6" t="s">
        <v>433</v>
      </c>
      <c r="D15" s="28" t="str">
        <f aca="false">in_spouse_tin&amp;""</f>
        <v/>
      </c>
    </row>
    <row r="16" customFormat="false" ht="15" hidden="false" customHeight="false" outlineLevel="0" collapsed="false">
      <c r="B16" s="17" t="s">
        <v>434</v>
      </c>
      <c r="C16" s="6" t="s">
        <v>63</v>
      </c>
      <c r="D16" s="28" t="str">
        <f aca="false">in_address&amp;""</f>
        <v>Village A, Upazila B, District C</v>
      </c>
    </row>
    <row r="17" customFormat="false" ht="15" hidden="false" customHeight="false" outlineLevel="0" collapsed="false">
      <c r="B17" s="17" t="s">
        <v>435</v>
      </c>
      <c r="C17" s="6" t="s">
        <v>65</v>
      </c>
      <c r="D17" s="28" t="str">
        <f aca="false">in_tel&amp;""</f>
        <v/>
      </c>
    </row>
    <row r="18" customFormat="false" ht="15" hidden="false" customHeight="false" outlineLevel="0" collapsed="false">
      <c r="B18" s="17" t="s">
        <v>436</v>
      </c>
      <c r="C18" s="6" t="s">
        <v>66</v>
      </c>
      <c r="D18" s="28" t="str">
        <f aca="false">in_mobile&amp;""</f>
        <v/>
      </c>
    </row>
    <row r="19" customFormat="false" ht="15" hidden="false" customHeight="false" outlineLevel="0" collapsed="false">
      <c r="B19" s="17" t="s">
        <v>437</v>
      </c>
      <c r="C19" s="6" t="s">
        <v>67</v>
      </c>
      <c r="D19" s="28" t="str">
        <f aca="false">in_email&amp;""</f>
        <v/>
      </c>
    </row>
    <row r="20" customFormat="false" ht="15" hidden="false" customHeight="false" outlineLevel="0" collapsed="false">
      <c r="B20" s="17" t="s">
        <v>438</v>
      </c>
      <c r="C20" s="6" t="s">
        <v>68</v>
      </c>
      <c r="D20" s="28" t="str">
        <f aca="false">in_employer&amp;""</f>
        <v>Upazila Health Complex</v>
      </c>
    </row>
    <row r="21" customFormat="false" ht="15" hidden="false" customHeight="false" outlineLevel="0" collapsed="false">
      <c r="B21" s="17" t="s">
        <v>439</v>
      </c>
      <c r="C21" s="6" t="s">
        <v>440</v>
      </c>
      <c r="D21" s="28" t="str">
        <f aca="false">in_org&amp;""</f>
        <v/>
      </c>
    </row>
    <row r="22" customFormat="false" ht="15" hidden="false" customHeight="false" outlineLevel="0" collapsed="false">
      <c r="B22" s="17" t="s">
        <v>441</v>
      </c>
      <c r="C22" s="6" t="s">
        <v>442</v>
      </c>
      <c r="D22" s="28" t="str">
        <f aca="false">in_bin&amp;""</f>
        <v/>
      </c>
    </row>
    <row r="23" customFormat="false" ht="15" hidden="false" customHeight="false" outlineLevel="0" collapsed="false">
      <c r="B23" s="17" t="s">
        <v>443</v>
      </c>
      <c r="C23" s="6" t="s">
        <v>444</v>
      </c>
      <c r="D23" s="28" t="str">
        <f aca="false">in_partners&amp;""</f>
        <v/>
      </c>
    </row>
    <row r="24" customFormat="false" ht="15" hidden="false" customHeight="false" outlineLevel="0" collapsed="false">
      <c r="B24" s="17" t="s">
        <v>445</v>
      </c>
      <c r="C24" s="6" t="s">
        <v>446</v>
      </c>
      <c r="D24" s="28" t="str">
        <f aca="false">in_father&amp;""</f>
        <v>Father Name</v>
      </c>
    </row>
    <row r="25" customFormat="false" ht="15" hidden="false" customHeight="false" outlineLevel="0" collapsed="false">
      <c r="B25" s="17" t="s">
        <v>447</v>
      </c>
      <c r="C25" s="6" t="s">
        <v>275</v>
      </c>
      <c r="D25" s="28" t="str">
        <f aca="false">in_place&amp;""</f>
        <v>Cumilla</v>
      </c>
    </row>
    <row r="26" customFormat="false" ht="15" hidden="false" customHeight="false" outlineLevel="0" collapsed="false">
      <c r="B26" s="17" t="s">
        <v>448</v>
      </c>
      <c r="C26" s="6" t="s">
        <v>449</v>
      </c>
      <c r="D26" s="28" t="n">
        <f aca="false">in_resident&lt;&gt;"No"</f>
        <v>1</v>
      </c>
    </row>
    <row r="27" customFormat="false" ht="15" hidden="false" customHeight="false" outlineLevel="0" collapsed="false">
      <c r="B27" s="17" t="s">
        <v>450</v>
      </c>
      <c r="C27" s="6" t="s">
        <v>451</v>
      </c>
      <c r="D27" s="28" t="n">
        <f aca="false">in_resident="No"</f>
        <v>0</v>
      </c>
    </row>
    <row r="28" customFormat="false" ht="15" hidden="false" customHeight="false" outlineLevel="0" collapsed="false">
      <c r="B28" s="17" t="s">
        <v>452</v>
      </c>
      <c r="C28" s="6" t="s">
        <v>453</v>
      </c>
      <c r="D28" s="28" t="str">
        <f aca="false">IF(N(in_dob)=0,"",TEXT(DAY(in_dob),"00")&amp;TEXT(MONTH(in_dob),"00")&amp;YEAR(in_dob))</f>
        <v>01011970</v>
      </c>
    </row>
    <row r="29" customFormat="false" ht="15" hidden="false" customHeight="false" outlineLevel="0" collapsed="false">
      <c r="B29" s="17" t="s">
        <v>454</v>
      </c>
      <c r="C29" s="6" t="s">
        <v>455</v>
      </c>
      <c r="D29" s="28" t="n">
        <f aca="false">IF(N(in_dob)=0,"",DATEDIF(in_dob,DATE(v_ay_start,6,30),"y"))</f>
        <v>56</v>
      </c>
    </row>
    <row r="30" customFormat="false" ht="15" hidden="false" customHeight="false" outlineLevel="0" collapsed="false">
      <c r="B30" s="17" t="s">
        <v>456</v>
      </c>
      <c r="C30" s="6" t="s">
        <v>457</v>
      </c>
      <c r="D30" s="28" t="n">
        <f aca="false">in_gender="Female"</f>
        <v>1</v>
      </c>
    </row>
    <row r="31" customFormat="false" ht="15" hidden="false" customHeight="false" outlineLevel="0" collapsed="false">
      <c r="B31" s="17" t="s">
        <v>458</v>
      </c>
      <c r="C31" s="6" t="s">
        <v>459</v>
      </c>
      <c r="D31" s="28" t="n">
        <f aca="false">in_gender="Third gender"</f>
        <v>0</v>
      </c>
    </row>
    <row r="32" customFormat="false" ht="15" hidden="false" customHeight="false" outlineLevel="0" collapsed="false">
      <c r="B32" s="17" t="s">
        <v>460</v>
      </c>
      <c r="C32" s="6" t="s">
        <v>461</v>
      </c>
      <c r="D32" s="28" t="n">
        <f aca="false">N(v_age)&gt;=65</f>
        <v>0</v>
      </c>
    </row>
    <row r="33" customFormat="false" ht="15" hidden="false" customHeight="false" outlineLevel="0" collapsed="false">
      <c r="B33" s="17" t="s">
        <v>462</v>
      </c>
      <c r="C33" s="6" t="s">
        <v>47</v>
      </c>
      <c r="D33" s="28" t="n">
        <f aca="false">in_disabled="Yes"</f>
        <v>0</v>
      </c>
    </row>
    <row r="34" customFormat="false" ht="15" hidden="false" customHeight="false" outlineLevel="0" collapsed="false">
      <c r="B34" s="17" t="s">
        <v>463</v>
      </c>
      <c r="C34" s="6" t="s">
        <v>49</v>
      </c>
      <c r="D34" s="28" t="n">
        <f aca="false">in_ff="Yes"</f>
        <v>0</v>
      </c>
    </row>
    <row r="35" customFormat="false" ht="15" hidden="false" customHeight="false" outlineLevel="0" collapsed="false">
      <c r="B35" s="17" t="s">
        <v>464</v>
      </c>
      <c r="C35" s="6" t="s">
        <v>50</v>
      </c>
      <c r="D35" s="28" t="n">
        <f aca="false">in_july="Yes"</f>
        <v>0</v>
      </c>
    </row>
    <row r="36" customFormat="false" ht="15" hidden="false" customHeight="false" outlineLevel="0" collapsed="false">
      <c r="B36" s="17" t="s">
        <v>465</v>
      </c>
      <c r="C36" s="6" t="s">
        <v>466</v>
      </c>
      <c r="D36" s="28" t="n">
        <f aca="false">in_parent="Yes"</f>
        <v>0</v>
      </c>
    </row>
    <row r="37" customFormat="false" ht="15" hidden="false" customHeight="false" outlineLevel="0" collapsed="false">
      <c r="B37" s="17" t="s">
        <v>467</v>
      </c>
      <c r="C37" s="6" t="s">
        <v>55</v>
      </c>
      <c r="D37" s="28" t="n">
        <f aca="false">in_first="Yes"</f>
        <v>1</v>
      </c>
    </row>
    <row r="38" customFormat="false" ht="15" hidden="false" customHeight="false" outlineLevel="0" collapsed="false">
      <c r="B38" s="17" t="s">
        <v>468</v>
      </c>
      <c r="C38" s="6" t="s">
        <v>469</v>
      </c>
      <c r="D38" s="28" t="n">
        <f aca="false">MAX(p_thr_general,IF(v_is_female,p_thr_female,0),IF(v_is_senior,p_thr_senior,0),IF(v_is_disabled,p_thr_disabled,0),IF(v_is_third,p_thr_third_gender,0),IF(v_is_ff,p_thr_war_wounded_freedom_fighter,0),IF(v_is_july,p_thr_july_joddha,0))+IF(v_is_parent,p_thr_parent_of_disabled_addition,0)</f>
        <v>400000</v>
      </c>
    </row>
    <row r="39" customFormat="false" ht="15" hidden="false" customHeight="false" outlineLevel="0" collapsed="false">
      <c r="B39" s="17" t="s">
        <v>470</v>
      </c>
      <c r="C39" s="6" t="s">
        <v>471</v>
      </c>
      <c r="D39" s="28" t="n">
        <f aca="false">in_boxes&lt;&gt;"No"</f>
        <v>0</v>
      </c>
    </row>
    <row r="40" customFormat="false" ht="15" hidden="false" customHeight="false" outlineLevel="0" collapsed="false">
      <c r="B40" s="17" t="s">
        <v>472</v>
      </c>
      <c r="C40" s="6" t="s">
        <v>473</v>
      </c>
      <c r="D40" s="28" t="n">
        <f aca="false">AND(v_boxes_auto,OR(v_is_ff,v_is_july))</f>
        <v>0</v>
      </c>
    </row>
    <row r="41" customFormat="false" ht="15" hidden="false" customHeight="false" outlineLevel="0" collapsed="false">
      <c r="B41" s="17" t="s">
        <v>474</v>
      </c>
      <c r="C41" s="6" t="s">
        <v>475</v>
      </c>
      <c r="D41" s="28" t="n">
        <f aca="false">AND(v_boxes_auto,v_is_female)</f>
        <v>0</v>
      </c>
    </row>
    <row r="42" customFormat="false" ht="15" hidden="false" customHeight="false" outlineLevel="0" collapsed="false">
      <c r="B42" s="17" t="s">
        <v>476</v>
      </c>
      <c r="C42" s="6" t="s">
        <v>477</v>
      </c>
      <c r="D42" s="28" t="n">
        <f aca="false">AND(v_boxes_auto,v_is_third)</f>
        <v>0</v>
      </c>
    </row>
    <row r="43" customFormat="false" ht="15" hidden="false" customHeight="false" outlineLevel="0" collapsed="false">
      <c r="B43" s="17" t="s">
        <v>478</v>
      </c>
      <c r="C43" s="6" t="s">
        <v>479</v>
      </c>
      <c r="D43" s="28" t="n">
        <f aca="false">AND(v_boxes_auto,v_is_disabled)</f>
        <v>0</v>
      </c>
    </row>
    <row r="44" customFormat="false" ht="15" hidden="false" customHeight="false" outlineLevel="0" collapsed="false">
      <c r="B44" s="17" t="s">
        <v>480</v>
      </c>
      <c r="C44" s="6" t="s">
        <v>481</v>
      </c>
      <c r="D44" s="28" t="n">
        <f aca="false">AND(v_boxes_auto,v_is_senior)</f>
        <v>0</v>
      </c>
    </row>
    <row r="45" customFormat="false" ht="15" hidden="false" customHeight="false" outlineLevel="0" collapsed="false">
      <c r="B45" s="17" t="s">
        <v>482</v>
      </c>
      <c r="C45" s="6" t="s">
        <v>483</v>
      </c>
      <c r="D45" s="28" t="n">
        <f aca="false">AND(v_boxes_auto,v_is_parent)</f>
        <v>0</v>
      </c>
    </row>
    <row r="46" customFormat="false" ht="15" hidden="false" customHeight="false" outlineLevel="0" collapsed="false">
      <c r="B46" s="17" t="s">
        <v>484</v>
      </c>
      <c r="C46" s="6" t="s">
        <v>446</v>
      </c>
      <c r="D46" s="28" t="str">
        <f aca="false">IF(in_relation="Husband","husband","father")</f>
        <v>father</v>
      </c>
    </row>
    <row r="47" customFormat="false" ht="15" hidden="false" customHeight="false" outlineLevel="0" collapsed="false">
      <c r="B47" s="17" t="s">
        <v>485</v>
      </c>
      <c r="C47" s="6" t="s">
        <v>486</v>
      </c>
      <c r="D47" s="28" t="str">
        <f aca="false">IF(N(in_date)=0,"",TEXT(DAY(in_date),"00")&amp;"/"&amp;TEXT(MONTH(in_date),"00")&amp;"/"&amp;YEAR(in_date))</f>
        <v>20/10/2026</v>
      </c>
    </row>
    <row r="48" customFormat="false" ht="15" hidden="false" customHeight="false" outlineLevel="0" collapsed="false">
      <c r="B48" s="17" t="s">
        <v>487</v>
      </c>
      <c r="C48" s="6" t="s">
        <v>488</v>
      </c>
      <c r="D48" s="28" t="str">
        <f aca="false">in_doc1&amp;""</f>
        <v>Tax Calculation</v>
      </c>
    </row>
    <row r="49" customFormat="false" ht="15" hidden="false" customHeight="false" outlineLevel="0" collapsed="false">
      <c r="B49" s="17" t="s">
        <v>489</v>
      </c>
      <c r="C49" s="6" t="s">
        <v>490</v>
      </c>
      <c r="D49" s="28" t="str">
        <f aca="false">in_doc2&amp;""</f>
        <v>Tax Free Income/ Exempted</v>
      </c>
    </row>
    <row r="50" customFormat="false" ht="15" hidden="false" customHeight="false" outlineLevel="0" collapsed="false">
      <c r="B50" s="17" t="s">
        <v>491</v>
      </c>
      <c r="C50" s="6" t="s">
        <v>492</v>
      </c>
      <c r="D50" s="28" t="str">
        <f aca="false">in_doc3&amp;""</f>
        <v>Related Supporting Documents</v>
      </c>
    </row>
    <row r="51" customFormat="false" ht="15" hidden="false" customHeight="false" outlineLevel="0" collapsed="false">
      <c r="B51" s="17" t="s">
        <v>493</v>
      </c>
      <c r="C51" s="6" t="s">
        <v>494</v>
      </c>
      <c r="D51" s="28" t="str">
        <f aca="false">in_doc4&amp;""</f>
        <v/>
      </c>
    </row>
    <row r="52" customFormat="false" ht="15" hidden="false" customHeight="false" outlineLevel="0" collapsed="false">
      <c r="B52" s="17" t="s">
        <v>495</v>
      </c>
      <c r="C52" s="6" t="s">
        <v>496</v>
      </c>
      <c r="D52" s="28" t="str">
        <f aca="false">in_doc5&amp;""</f>
        <v/>
      </c>
    </row>
    <row r="53" customFormat="false" ht="15" hidden="false" customHeight="false" outlineLevel="0" collapsed="false">
      <c r="B53" s="17" t="s">
        <v>497</v>
      </c>
      <c r="C53" s="6" t="s">
        <v>498</v>
      </c>
      <c r="D53" s="28" t="str">
        <f aca="false">in_doc6&amp;""</f>
        <v/>
      </c>
    </row>
    <row r="54" customFormat="false" ht="15" hidden="false" customHeight="false" outlineLevel="0" collapsed="false">
      <c r="B54" s="17" t="s">
        <v>499</v>
      </c>
      <c r="C54" s="6" t="s">
        <v>500</v>
      </c>
      <c r="D54" s="28" t="str">
        <f aca="false">in_doc7&amp;""</f>
        <v/>
      </c>
    </row>
    <row r="55" customFormat="false" ht="15" hidden="false" customHeight="false" outlineLevel="0" collapsed="false">
      <c r="B55" s="17" t="s">
        <v>501</v>
      </c>
      <c r="C55" s="6" t="s">
        <v>502</v>
      </c>
      <c r="D55" s="28" t="n">
        <f aca="false">N(in_g_basic_pay)</f>
        <v>462648</v>
      </c>
    </row>
    <row r="56" customFormat="false" ht="15" hidden="false" customHeight="false" outlineLevel="0" collapsed="false">
      <c r="B56" s="17" t="s">
        <v>503</v>
      </c>
      <c r="C56" s="6" t="s">
        <v>504</v>
      </c>
      <c r="D56" s="28" t="n">
        <f aca="false">N(in_g_arrear_pay)</f>
        <v>0</v>
      </c>
    </row>
    <row r="57" customFormat="false" ht="15" hidden="false" customHeight="false" outlineLevel="0" collapsed="false">
      <c r="B57" s="17" t="s">
        <v>505</v>
      </c>
      <c r="C57" s="6" t="s">
        <v>506</v>
      </c>
      <c r="D57" s="28" t="n">
        <f aca="false">N(in_g_special_allowance)</f>
        <v>0</v>
      </c>
    </row>
    <row r="58" customFormat="false" ht="15" hidden="false" customHeight="false" outlineLevel="0" collapsed="false">
      <c r="B58" s="17" t="s">
        <v>507</v>
      </c>
      <c r="C58" s="6" t="s">
        <v>508</v>
      </c>
      <c r="D58" s="28" t="n">
        <f aca="false">N(in_g_house_rent_allowance)</f>
        <v>0</v>
      </c>
    </row>
    <row r="59" customFormat="false" ht="15" hidden="false" customHeight="false" outlineLevel="0" collapsed="false">
      <c r="B59" s="17" t="s">
        <v>509</v>
      </c>
      <c r="C59" s="6" t="s">
        <v>510</v>
      </c>
      <c r="D59" s="28" t="n">
        <f aca="false">N(in_g_medical_allowance)</f>
        <v>0</v>
      </c>
    </row>
    <row r="60" customFormat="false" ht="15" hidden="false" customHeight="false" outlineLevel="0" collapsed="false">
      <c r="B60" s="17" t="s">
        <v>511</v>
      </c>
      <c r="C60" s="6" t="s">
        <v>512</v>
      </c>
      <c r="D60" s="28" t="n">
        <f aca="false">N(in_g_conveyance_allowance)</f>
        <v>0</v>
      </c>
    </row>
    <row r="61" customFormat="false" ht="15" hidden="false" customHeight="false" outlineLevel="0" collapsed="false">
      <c r="B61" s="17" t="s">
        <v>513</v>
      </c>
      <c r="C61" s="6" t="s">
        <v>514</v>
      </c>
      <c r="D61" s="28" t="n">
        <f aca="false">N(in_g_festival_allowance)</f>
        <v>53160</v>
      </c>
    </row>
    <row r="62" customFormat="false" ht="15" hidden="false" customHeight="false" outlineLevel="0" collapsed="false">
      <c r="B62" s="17" t="s">
        <v>515</v>
      </c>
      <c r="C62" s="6" t="s">
        <v>516</v>
      </c>
      <c r="D62" s="28" t="n">
        <f aca="false">N(in_g_support_staff_allowance)</f>
        <v>0</v>
      </c>
    </row>
    <row r="63" customFormat="false" ht="15" hidden="false" customHeight="false" outlineLevel="0" collapsed="false">
      <c r="B63" s="17" t="s">
        <v>517</v>
      </c>
      <c r="C63" s="6" t="s">
        <v>518</v>
      </c>
      <c r="D63" s="28" t="n">
        <f aca="false">N(in_g_leave_allowance)</f>
        <v>0</v>
      </c>
    </row>
    <row r="64" customFormat="false" ht="15" hidden="false" customHeight="false" outlineLevel="0" collapsed="false">
      <c r="B64" s="17" t="s">
        <v>519</v>
      </c>
      <c r="C64" s="6" t="s">
        <v>520</v>
      </c>
      <c r="D64" s="28" t="n">
        <f aca="false">N(in_g_honorarium)</f>
        <v>0</v>
      </c>
    </row>
    <row r="65" customFormat="false" ht="15" hidden="false" customHeight="false" outlineLevel="0" collapsed="false">
      <c r="B65" s="17" t="s">
        <v>521</v>
      </c>
      <c r="C65" s="6" t="s">
        <v>522</v>
      </c>
      <c r="D65" s="28" t="n">
        <f aca="false">N(in_g_overtime_allowance)</f>
        <v>0</v>
      </c>
    </row>
    <row r="66" customFormat="false" ht="15" hidden="false" customHeight="false" outlineLevel="0" collapsed="false">
      <c r="B66" s="17" t="s">
        <v>523</v>
      </c>
      <c r="C66" s="6" t="s">
        <v>524</v>
      </c>
      <c r="D66" s="28" t="n">
        <f aca="false">N(in_g_baishakhi_allowance)</f>
        <v>5308</v>
      </c>
    </row>
    <row r="67" customFormat="false" ht="15" hidden="false" customHeight="false" outlineLevel="0" collapsed="false">
      <c r="B67" s="17" t="s">
        <v>525</v>
      </c>
      <c r="C67" s="6" t="s">
        <v>526</v>
      </c>
      <c r="D67" s="28" t="n">
        <f aca="false">N(in_g_pf_interest)</f>
        <v>0</v>
      </c>
    </row>
    <row r="68" customFormat="false" ht="15" hidden="false" customHeight="false" outlineLevel="0" collapsed="false">
      <c r="B68" s="17" t="s">
        <v>527</v>
      </c>
      <c r="C68" s="6" t="s">
        <v>528</v>
      </c>
      <c r="D68" s="28" t="n">
        <f aca="false">N(in_g_lamp_grant)</f>
        <v>0</v>
      </c>
    </row>
    <row r="69" customFormat="false" ht="15" hidden="false" customHeight="false" outlineLevel="0" collapsed="false">
      <c r="B69" s="17" t="s">
        <v>529</v>
      </c>
      <c r="C69" s="6" t="s">
        <v>530</v>
      </c>
      <c r="D69" s="28" t="n">
        <f aca="false">N(in_g_gratuity)</f>
        <v>0</v>
      </c>
    </row>
    <row r="70" customFormat="false" ht="15" hidden="false" customHeight="false" outlineLevel="0" collapsed="false">
      <c r="B70" s="17" t="s">
        <v>531</v>
      </c>
      <c r="C70" s="6" t="s">
        <v>532</v>
      </c>
      <c r="D70" s="28" t="n">
        <f aca="false">N(in_g_others)</f>
        <v>0</v>
      </c>
    </row>
    <row r="71" customFormat="false" ht="15" hidden="false" customHeight="false" outlineLevel="0" collapsed="false">
      <c r="B71" s="17" t="s">
        <v>533</v>
      </c>
      <c r="C71" s="6" t="s">
        <v>534</v>
      </c>
      <c r="D71" s="28" t="str">
        <f aca="false">IF(p_gt_basic_pay=1,"",v_s1a_basic_pay_inc)</f>
        <v/>
      </c>
    </row>
    <row r="72" customFormat="false" ht="15" hidden="false" customHeight="false" outlineLevel="0" collapsed="false">
      <c r="B72" s="17" t="s">
        <v>535</v>
      </c>
      <c r="C72" s="6" t="s">
        <v>536</v>
      </c>
      <c r="D72" s="28" t="n">
        <f aca="false">IF(p_gt_arrear_pay=1,"",v_s1a_arrear_pay_inc)</f>
        <v>0</v>
      </c>
    </row>
    <row r="73" customFormat="false" ht="15" hidden="false" customHeight="false" outlineLevel="0" collapsed="false">
      <c r="B73" s="17" t="s">
        <v>537</v>
      </c>
      <c r="C73" s="6" t="s">
        <v>538</v>
      </c>
      <c r="D73" s="28" t="n">
        <f aca="false">IF(p_gt_special_allowance=1,"",v_s1a_special_allowance_inc)</f>
        <v>0</v>
      </c>
    </row>
    <row r="74" customFormat="false" ht="15" hidden="false" customHeight="false" outlineLevel="0" collapsed="false">
      <c r="B74" s="17" t="s">
        <v>539</v>
      </c>
      <c r="C74" s="6" t="s">
        <v>540</v>
      </c>
      <c r="D74" s="28" t="n">
        <f aca="false">IF(p_gt_house_rent_allowance=1,"",v_s1a_house_rent_allowance_inc)</f>
        <v>0</v>
      </c>
    </row>
    <row r="75" customFormat="false" ht="15" hidden="false" customHeight="false" outlineLevel="0" collapsed="false">
      <c r="B75" s="17" t="s">
        <v>541</v>
      </c>
      <c r="C75" s="6" t="s">
        <v>542</v>
      </c>
      <c r="D75" s="28" t="n">
        <f aca="false">IF(p_gt_medical_allowance=1,"",v_s1a_medical_allowance_inc)</f>
        <v>0</v>
      </c>
    </row>
    <row r="76" customFormat="false" ht="15" hidden="false" customHeight="false" outlineLevel="0" collapsed="false">
      <c r="B76" s="17" t="s">
        <v>543</v>
      </c>
      <c r="C76" s="6" t="s">
        <v>544</v>
      </c>
      <c r="D76" s="28" t="n">
        <f aca="false">IF(p_gt_conveyance_allowance=1,"",v_s1a_conveyance_allowance_inc)</f>
        <v>0</v>
      </c>
    </row>
    <row r="77" customFormat="false" ht="15" hidden="false" customHeight="false" outlineLevel="0" collapsed="false">
      <c r="B77" s="17" t="s">
        <v>545</v>
      </c>
      <c r="C77" s="6" t="s">
        <v>546</v>
      </c>
      <c r="D77" s="28" t="str">
        <f aca="false">IF(p_gt_festival_allowance=1,"",v_s1a_festival_allowance_inc)</f>
        <v/>
      </c>
    </row>
    <row r="78" customFormat="false" ht="15" hidden="false" customHeight="false" outlineLevel="0" collapsed="false">
      <c r="B78" s="17" t="s">
        <v>547</v>
      </c>
      <c r="C78" s="6" t="s">
        <v>548</v>
      </c>
      <c r="D78" s="28" t="n">
        <f aca="false">IF(p_gt_support_staff_allowance=1,"",v_s1a_support_staff_allowance_inc)</f>
        <v>0</v>
      </c>
    </row>
    <row r="79" customFormat="false" ht="15" hidden="false" customHeight="false" outlineLevel="0" collapsed="false">
      <c r="B79" s="17" t="s">
        <v>549</v>
      </c>
      <c r="C79" s="6" t="s">
        <v>550</v>
      </c>
      <c r="D79" s="28" t="n">
        <f aca="false">IF(p_gt_leave_allowance=1,"",v_s1a_leave_allowance_inc)</f>
        <v>0</v>
      </c>
    </row>
    <row r="80" customFormat="false" ht="15" hidden="false" customHeight="false" outlineLevel="0" collapsed="false">
      <c r="B80" s="17" t="s">
        <v>551</v>
      </c>
      <c r="C80" s="6" t="s">
        <v>552</v>
      </c>
      <c r="D80" s="28" t="n">
        <f aca="false">IF(p_gt_honorarium=1,"",v_s1a_honorarium_inc)</f>
        <v>0</v>
      </c>
    </row>
    <row r="81" customFormat="false" ht="15" hidden="false" customHeight="false" outlineLevel="0" collapsed="false">
      <c r="B81" s="17" t="s">
        <v>553</v>
      </c>
      <c r="C81" s="6" t="s">
        <v>554</v>
      </c>
      <c r="D81" s="28" t="n">
        <f aca="false">IF(p_gt_overtime_allowance=1,"",v_s1a_overtime_allowance_inc)</f>
        <v>0</v>
      </c>
    </row>
    <row r="82" customFormat="false" ht="15" hidden="false" customHeight="false" outlineLevel="0" collapsed="false">
      <c r="B82" s="17" t="s">
        <v>555</v>
      </c>
      <c r="C82" s="6" t="s">
        <v>556</v>
      </c>
      <c r="D82" s="28" t="n">
        <f aca="false">IF(p_gt_baishakhi_allowance=1,"",v_s1a_baishakhi_allowance_inc)</f>
        <v>5308</v>
      </c>
    </row>
    <row r="83" customFormat="false" ht="15" hidden="false" customHeight="false" outlineLevel="0" collapsed="false">
      <c r="B83" s="17" t="s">
        <v>557</v>
      </c>
      <c r="C83" s="6" t="s">
        <v>558</v>
      </c>
      <c r="D83" s="28" t="n">
        <f aca="false">IF(p_gt_pf_interest=1,"",v_s1a_pf_interest_inc)</f>
        <v>0</v>
      </c>
    </row>
    <row r="84" customFormat="false" ht="15" hidden="false" customHeight="false" outlineLevel="0" collapsed="false">
      <c r="B84" s="17" t="s">
        <v>559</v>
      </c>
      <c r="C84" s="6" t="s">
        <v>560</v>
      </c>
      <c r="D84" s="28" t="n">
        <f aca="false">IF(p_gt_lamp_grant=1,"",v_s1a_lamp_grant_inc)</f>
        <v>0</v>
      </c>
    </row>
    <row r="85" customFormat="false" ht="15" hidden="false" customHeight="false" outlineLevel="0" collapsed="false">
      <c r="B85" s="17" t="s">
        <v>561</v>
      </c>
      <c r="C85" s="6" t="s">
        <v>562</v>
      </c>
      <c r="D85" s="28" t="n">
        <f aca="false">IF(p_gt_gratuity=1,"",v_s1a_gratuity_inc)</f>
        <v>0</v>
      </c>
    </row>
    <row r="86" customFormat="false" ht="15" hidden="false" customHeight="false" outlineLevel="0" collapsed="false">
      <c r="B86" s="17" t="s">
        <v>563</v>
      </c>
      <c r="C86" s="6" t="s">
        <v>564</v>
      </c>
      <c r="D86" s="28" t="n">
        <f aca="false">IF(p_gt_others=1,"",v_s1a_others_inc)</f>
        <v>0</v>
      </c>
    </row>
    <row r="87" customFormat="false" ht="15" hidden="false" customHeight="false" outlineLevel="0" collapsed="false">
      <c r="B87" s="17" t="s">
        <v>565</v>
      </c>
      <c r="C87" s="6" t="s">
        <v>566</v>
      </c>
      <c r="D87" s="28" t="n">
        <f aca="false">IF(p_gt_basic_pay=1,v_s1a_basic_pay_inc,"")</f>
        <v>462648</v>
      </c>
    </row>
    <row r="88" customFormat="false" ht="15" hidden="false" customHeight="false" outlineLevel="0" collapsed="false">
      <c r="B88" s="17" t="s">
        <v>567</v>
      </c>
      <c r="C88" s="6" t="s">
        <v>568</v>
      </c>
      <c r="D88" s="28" t="str">
        <f aca="false">IF(p_gt_arrear_pay=1,v_s1a_arrear_pay_inc,"")</f>
        <v/>
      </c>
    </row>
    <row r="89" customFormat="false" ht="15" hidden="false" customHeight="false" outlineLevel="0" collapsed="false">
      <c r="B89" s="17" t="s">
        <v>569</v>
      </c>
      <c r="C89" s="6" t="s">
        <v>570</v>
      </c>
      <c r="D89" s="28" t="str">
        <f aca="false">IF(p_gt_special_allowance=1,v_s1a_special_allowance_inc,"")</f>
        <v/>
      </c>
    </row>
    <row r="90" customFormat="false" ht="15" hidden="false" customHeight="false" outlineLevel="0" collapsed="false">
      <c r="B90" s="17" t="s">
        <v>571</v>
      </c>
      <c r="C90" s="6" t="s">
        <v>572</v>
      </c>
      <c r="D90" s="28" t="str">
        <f aca="false">IF(p_gt_house_rent_allowance=1,v_s1a_house_rent_allowance_inc,"")</f>
        <v/>
      </c>
    </row>
    <row r="91" customFormat="false" ht="15" hidden="false" customHeight="false" outlineLevel="0" collapsed="false">
      <c r="B91" s="17" t="s">
        <v>573</v>
      </c>
      <c r="C91" s="6" t="s">
        <v>574</v>
      </c>
      <c r="D91" s="28" t="str">
        <f aca="false">IF(p_gt_medical_allowance=1,v_s1a_medical_allowance_inc,"")</f>
        <v/>
      </c>
    </row>
    <row r="92" customFormat="false" ht="15" hidden="false" customHeight="false" outlineLevel="0" collapsed="false">
      <c r="B92" s="17" t="s">
        <v>575</v>
      </c>
      <c r="C92" s="6" t="s">
        <v>576</v>
      </c>
      <c r="D92" s="28" t="str">
        <f aca="false">IF(p_gt_conveyance_allowance=1,v_s1a_conveyance_allowance_inc,"")</f>
        <v/>
      </c>
    </row>
    <row r="93" customFormat="false" ht="15" hidden="false" customHeight="false" outlineLevel="0" collapsed="false">
      <c r="B93" s="17" t="s">
        <v>577</v>
      </c>
      <c r="C93" s="6" t="s">
        <v>578</v>
      </c>
      <c r="D93" s="28" t="n">
        <f aca="false">IF(p_gt_festival_allowance=1,v_s1a_festival_allowance_inc,"")</f>
        <v>53160</v>
      </c>
    </row>
    <row r="94" customFormat="false" ht="15" hidden="false" customHeight="false" outlineLevel="0" collapsed="false">
      <c r="B94" s="17" t="s">
        <v>579</v>
      </c>
      <c r="C94" s="6" t="s">
        <v>580</v>
      </c>
      <c r="D94" s="28" t="str">
        <f aca="false">IF(p_gt_support_staff_allowance=1,v_s1a_support_staff_allowance_inc,"")</f>
        <v/>
      </c>
    </row>
    <row r="95" customFormat="false" ht="15" hidden="false" customHeight="false" outlineLevel="0" collapsed="false">
      <c r="B95" s="17" t="s">
        <v>581</v>
      </c>
      <c r="C95" s="6" t="s">
        <v>582</v>
      </c>
      <c r="D95" s="28" t="str">
        <f aca="false">IF(p_gt_leave_allowance=1,v_s1a_leave_allowance_inc,"")</f>
        <v/>
      </c>
    </row>
    <row r="96" customFormat="false" ht="15" hidden="false" customHeight="false" outlineLevel="0" collapsed="false">
      <c r="B96" s="17" t="s">
        <v>583</v>
      </c>
      <c r="C96" s="6" t="s">
        <v>584</v>
      </c>
      <c r="D96" s="28" t="str">
        <f aca="false">IF(p_gt_honorarium=1,v_s1a_honorarium_inc,"")</f>
        <v/>
      </c>
    </row>
    <row r="97" customFormat="false" ht="15" hidden="false" customHeight="false" outlineLevel="0" collapsed="false">
      <c r="B97" s="17" t="s">
        <v>585</v>
      </c>
      <c r="C97" s="6" t="s">
        <v>586</v>
      </c>
      <c r="D97" s="28" t="str">
        <f aca="false">IF(p_gt_overtime_allowance=1,v_s1a_overtime_allowance_inc,"")</f>
        <v/>
      </c>
    </row>
    <row r="98" customFormat="false" ht="15" hidden="false" customHeight="false" outlineLevel="0" collapsed="false">
      <c r="B98" s="17" t="s">
        <v>587</v>
      </c>
      <c r="C98" s="6" t="s">
        <v>588</v>
      </c>
      <c r="D98" s="28" t="str">
        <f aca="false">IF(p_gt_baishakhi_allowance=1,v_s1a_baishakhi_allowance_inc,"")</f>
        <v/>
      </c>
    </row>
    <row r="99" customFormat="false" ht="15" hidden="false" customHeight="false" outlineLevel="0" collapsed="false">
      <c r="B99" s="17" t="s">
        <v>589</v>
      </c>
      <c r="C99" s="6" t="s">
        <v>590</v>
      </c>
      <c r="D99" s="28" t="str">
        <f aca="false">IF(p_gt_pf_interest=1,v_s1a_pf_interest_inc,"")</f>
        <v/>
      </c>
    </row>
    <row r="100" customFormat="false" ht="15" hidden="false" customHeight="false" outlineLevel="0" collapsed="false">
      <c r="B100" s="17" t="s">
        <v>591</v>
      </c>
      <c r="C100" s="6" t="s">
        <v>592</v>
      </c>
      <c r="D100" s="28" t="str">
        <f aca="false">IF(p_gt_lamp_grant=1,v_s1a_lamp_grant_inc,"")</f>
        <v/>
      </c>
    </row>
    <row r="101" customFormat="false" ht="15" hidden="false" customHeight="false" outlineLevel="0" collapsed="false">
      <c r="B101" s="17" t="s">
        <v>593</v>
      </c>
      <c r="C101" s="6" t="s">
        <v>594</v>
      </c>
      <c r="D101" s="28" t="str">
        <f aca="false">IF(p_gt_gratuity=1,v_s1a_gratuity_inc,"")</f>
        <v/>
      </c>
    </row>
    <row r="102" customFormat="false" ht="15" hidden="false" customHeight="false" outlineLevel="0" collapsed="false">
      <c r="B102" s="17" t="s">
        <v>595</v>
      </c>
      <c r="C102" s="6" t="s">
        <v>596</v>
      </c>
      <c r="D102" s="28" t="str">
        <f aca="false">IF(p_gt_others=1,v_s1a_others_inc,"")</f>
        <v/>
      </c>
    </row>
    <row r="103" customFormat="false" ht="15" hidden="false" customHeight="false" outlineLevel="0" collapsed="false">
      <c r="B103" s="17" t="s">
        <v>597</v>
      </c>
      <c r="C103" s="6" t="s">
        <v>598</v>
      </c>
      <c r="D103" s="28" t="n">
        <f aca="false">SUM(D55:D70)</f>
        <v>521116</v>
      </c>
    </row>
    <row r="104" customFormat="false" ht="15" hidden="false" customHeight="false" outlineLevel="0" collapsed="false">
      <c r="B104" s="17" t="s">
        <v>599</v>
      </c>
      <c r="C104" s="6" t="s">
        <v>600</v>
      </c>
      <c r="D104" s="28" t="n">
        <f aca="false">SUM(D71:D86)</f>
        <v>5308</v>
      </c>
    </row>
    <row r="105" customFormat="false" ht="15" hidden="false" customHeight="false" outlineLevel="0" collapsed="false">
      <c r="B105" s="17" t="s">
        <v>601</v>
      </c>
      <c r="C105" s="6" t="s">
        <v>602</v>
      </c>
      <c r="D105" s="28" t="n">
        <f aca="false">SUM(D87:D102)</f>
        <v>515808</v>
      </c>
    </row>
    <row r="106" customFormat="false" ht="15" hidden="false" customHeight="false" outlineLevel="0" collapsed="false">
      <c r="B106" s="17" t="s">
        <v>603</v>
      </c>
      <c r="C106" s="6" t="s">
        <v>604</v>
      </c>
      <c r="D106" s="28" t="n">
        <f aca="false">N(in_p_basic_pay)</f>
        <v>0</v>
      </c>
    </row>
    <row r="107" customFormat="false" ht="15" hidden="false" customHeight="false" outlineLevel="0" collapsed="false">
      <c r="B107" s="17" t="s">
        <v>605</v>
      </c>
      <c r="C107" s="6" t="s">
        <v>606</v>
      </c>
      <c r="D107" s="28" t="n">
        <f aca="false">N(in_p_allowances)</f>
        <v>0</v>
      </c>
    </row>
    <row r="108" customFormat="false" ht="15" hidden="false" customHeight="false" outlineLevel="0" collapsed="false">
      <c r="B108" s="17" t="s">
        <v>607</v>
      </c>
      <c r="C108" s="6" t="s">
        <v>608</v>
      </c>
      <c r="D108" s="28" t="n">
        <f aca="false">N(in_p_advance_salary)</f>
        <v>0</v>
      </c>
    </row>
    <row r="109" customFormat="false" ht="15" hidden="false" customHeight="false" outlineLevel="0" collapsed="false">
      <c r="B109" s="17" t="s">
        <v>609</v>
      </c>
      <c r="C109" s="6" t="s">
        <v>610</v>
      </c>
      <c r="D109" s="28" t="n">
        <f aca="false">N(in_p_gratuity_pension)</f>
        <v>0</v>
      </c>
    </row>
    <row r="110" customFormat="false" ht="15" hidden="false" customHeight="false" outlineLevel="0" collapsed="false">
      <c r="B110" s="17" t="s">
        <v>611</v>
      </c>
      <c r="C110" s="6" t="s">
        <v>612</v>
      </c>
      <c r="D110" s="28" t="n">
        <f aca="false">N(in_p_perquisites)</f>
        <v>0</v>
      </c>
    </row>
    <row r="111" customFormat="false" ht="15" hidden="false" customHeight="false" outlineLevel="0" collapsed="false">
      <c r="B111" s="17" t="s">
        <v>613</v>
      </c>
      <c r="C111" s="6" t="s">
        <v>614</v>
      </c>
      <c r="D111" s="28" t="n">
        <f aca="false">N(in_p_in_lieu_of_salary)</f>
        <v>0</v>
      </c>
    </row>
    <row r="112" customFormat="false" ht="15" hidden="false" customHeight="false" outlineLevel="0" collapsed="false">
      <c r="B112" s="17" t="s">
        <v>615</v>
      </c>
      <c r="C112" s="6" t="s">
        <v>616</v>
      </c>
      <c r="D112" s="28" t="n">
        <f aca="false">N(in_p_employee_share_scheme)</f>
        <v>0</v>
      </c>
    </row>
    <row r="113" customFormat="false" ht="15" hidden="false" customHeight="false" outlineLevel="0" collapsed="false">
      <c r="B113" s="17" t="s">
        <v>617</v>
      </c>
      <c r="C113" s="6" t="s">
        <v>618</v>
      </c>
      <c r="D113" s="28" t="n">
        <f aca="false">N(in_p_accommodation)</f>
        <v>0</v>
      </c>
    </row>
    <row r="114" customFormat="false" ht="15" hidden="false" customHeight="false" outlineLevel="0" collapsed="false">
      <c r="B114" s="17" t="s">
        <v>619</v>
      </c>
      <c r="C114" s="6" t="s">
        <v>620</v>
      </c>
      <c r="D114" s="28" t="n">
        <f aca="false">N(in_p_car_benefit)</f>
        <v>0</v>
      </c>
    </row>
    <row r="115" customFormat="false" ht="15" hidden="false" customHeight="false" outlineLevel="0" collapsed="false">
      <c r="B115" s="17" t="s">
        <v>621</v>
      </c>
      <c r="C115" s="6" t="s">
        <v>622</v>
      </c>
      <c r="D115" s="28" t="n">
        <f aca="false">N(in_p_other_benefits)</f>
        <v>0</v>
      </c>
    </row>
    <row r="116" customFormat="false" ht="15" hidden="false" customHeight="false" outlineLevel="0" collapsed="false">
      <c r="B116" s="17" t="s">
        <v>623</v>
      </c>
      <c r="C116" s="6" t="s">
        <v>624</v>
      </c>
      <c r="D116" s="28" t="n">
        <f aca="false">N(in_p_employer_pf_contribution)</f>
        <v>0</v>
      </c>
    </row>
    <row r="117" customFormat="false" ht="15" hidden="false" customHeight="false" outlineLevel="0" collapsed="false">
      <c r="B117" s="17" t="s">
        <v>625</v>
      </c>
      <c r="C117" s="6" t="s">
        <v>626</v>
      </c>
      <c r="D117" s="28" t="n">
        <f aca="false">N(in_p_others)</f>
        <v>0</v>
      </c>
    </row>
    <row r="118" customFormat="false" ht="15" hidden="false" customHeight="false" outlineLevel="0" collapsed="false">
      <c r="B118" s="17" t="s">
        <v>627</v>
      </c>
      <c r="C118" s="6" t="s">
        <v>628</v>
      </c>
      <c r="D118" s="28" t="n">
        <f aca="false">SUM(D106:D117)</f>
        <v>0</v>
      </c>
    </row>
    <row r="119" customFormat="false" ht="15" hidden="false" customHeight="false" outlineLevel="0" collapsed="false">
      <c r="B119" s="17" t="s">
        <v>629</v>
      </c>
      <c r="C119" s="6" t="s">
        <v>630</v>
      </c>
      <c r="D119" s="28" t="n">
        <f aca="false">v_s1b_sub</f>
        <v>0</v>
      </c>
    </row>
    <row r="120" customFormat="false" ht="15" hidden="false" customHeight="false" outlineLevel="0" collapsed="false">
      <c r="B120" s="17" t="s">
        <v>631</v>
      </c>
      <c r="C120" s="6" t="s">
        <v>632</v>
      </c>
      <c r="D120" s="28" t="n">
        <f aca="false">IF(v_s1b_total&gt;0,ROUND(MIN(v_s1b_total*p_priv_fraction,p_priv_cap),0),0)</f>
        <v>0</v>
      </c>
    </row>
    <row r="121" customFormat="false" ht="15" hidden="false" customHeight="false" outlineLevel="0" collapsed="false">
      <c r="B121" s="17" t="s">
        <v>633</v>
      </c>
      <c r="C121" s="6" t="s">
        <v>634</v>
      </c>
      <c r="D121" s="28" t="n">
        <f aca="false">v_s1b_total-v_s1b_exempt</f>
        <v>0</v>
      </c>
    </row>
    <row r="122" customFormat="false" ht="15" hidden="false" customHeight="false" outlineLevel="0" collapsed="false">
      <c r="B122" s="17" t="s">
        <v>635</v>
      </c>
      <c r="C122" s="6" t="s">
        <v>636</v>
      </c>
      <c r="D122" s="28" t="n">
        <f aca="false">N(in_hp1_av)</f>
        <v>395000</v>
      </c>
    </row>
    <row r="123" customFormat="false" ht="15" hidden="false" customHeight="false" outlineLevel="0" collapsed="false">
      <c r="B123" s="17" t="s">
        <v>637</v>
      </c>
      <c r="C123" s="6" t="s">
        <v>638</v>
      </c>
      <c r="D123" s="28" t="n">
        <f aca="false">N(in_hp1_adv)</f>
        <v>0</v>
      </c>
    </row>
    <row r="124" customFormat="false" ht="15" hidden="false" customHeight="false" outlineLevel="0" collapsed="false">
      <c r="B124" s="17" t="s">
        <v>639</v>
      </c>
      <c r="C124" s="6" t="s">
        <v>640</v>
      </c>
      <c r="D124" s="28" t="n">
        <f aca="false">N(in_hp1_ben)</f>
        <v>0</v>
      </c>
    </row>
    <row r="125" customFormat="false" ht="15" hidden="false" customHeight="false" outlineLevel="0" collapsed="false">
      <c r="B125" s="17" t="s">
        <v>641</v>
      </c>
      <c r="C125" s="6" t="s">
        <v>642</v>
      </c>
      <c r="D125" s="28" t="n">
        <f aca="false">N(in_hp1_adj)</f>
        <v>0</v>
      </c>
    </row>
    <row r="126" customFormat="false" ht="15" hidden="false" customHeight="false" outlineLevel="0" collapsed="false">
      <c r="B126" s="17" t="s">
        <v>643</v>
      </c>
      <c r="C126" s="6" t="s">
        <v>644</v>
      </c>
      <c r="D126" s="28" t="n">
        <f aca="false">N(in_hp1_vac)</f>
        <v>0</v>
      </c>
    </row>
    <row r="127" customFormat="false" ht="15" hidden="false" customHeight="false" outlineLevel="0" collapsed="false">
      <c r="B127" s="17" t="s">
        <v>645</v>
      </c>
      <c r="C127" s="6" t="s">
        <v>646</v>
      </c>
      <c r="D127" s="28" t="n">
        <f aca="false">v_hp1_r1+v_hp1_r2+v_hp1_r3-v_hp1_r4-v_hp1_r5</f>
        <v>395000</v>
      </c>
    </row>
    <row r="128" customFormat="false" ht="15" hidden="false" customHeight="false" outlineLevel="0" collapsed="false">
      <c r="B128" s="17" t="s">
        <v>647</v>
      </c>
      <c r="C128" s="6" t="s">
        <v>648</v>
      </c>
      <c r="D128" s="28" t="n">
        <f aca="false">in_hp1_use="Commercial"</f>
        <v>0</v>
      </c>
    </row>
    <row r="129" customFormat="false" ht="15" hidden="false" customHeight="false" outlineLevel="0" collapsed="false">
      <c r="B129" s="17" t="s">
        <v>649</v>
      </c>
      <c r="C129" s="6" t="s">
        <v>650</v>
      </c>
      <c r="D129" s="28" t="n">
        <f aca="false">ROUND(v_hp1_r6*IF(v_hp1_com,p_repair_com,p_repair_res),0)</f>
        <v>98750</v>
      </c>
    </row>
    <row r="130" customFormat="false" ht="15" hidden="false" customHeight="false" outlineLevel="0" collapsed="false">
      <c r="B130" s="17" t="s">
        <v>651</v>
      </c>
      <c r="C130" s="6" t="s">
        <v>652</v>
      </c>
      <c r="D130" s="28" t="n">
        <f aca="false">N(in_hp1_mun)</f>
        <v>0</v>
      </c>
    </row>
    <row r="131" customFormat="false" ht="15" hidden="false" customHeight="false" outlineLevel="0" collapsed="false">
      <c r="B131" s="17" t="s">
        <v>653</v>
      </c>
      <c r="C131" s="6" t="s">
        <v>654</v>
      </c>
      <c r="D131" s="28" t="n">
        <f aca="false">N(in_hp1_land)</f>
        <v>0</v>
      </c>
    </row>
    <row r="132" customFormat="false" ht="15" hidden="false" customHeight="false" outlineLevel="0" collapsed="false">
      <c r="B132" s="17" t="s">
        <v>655</v>
      </c>
      <c r="C132" s="6" t="s">
        <v>656</v>
      </c>
      <c r="D132" s="28" t="n">
        <f aca="false">N(in_hp1_loan)</f>
        <v>0</v>
      </c>
    </row>
    <row r="133" customFormat="false" ht="15" hidden="false" customHeight="false" outlineLevel="0" collapsed="false">
      <c r="B133" s="17" t="s">
        <v>657</v>
      </c>
      <c r="C133" s="6" t="s">
        <v>658</v>
      </c>
      <c r="D133" s="28" t="n">
        <f aca="false">N(in_hp1_ins)</f>
        <v>0</v>
      </c>
    </row>
    <row r="134" customFormat="false" ht="15" hidden="false" customHeight="false" outlineLevel="0" collapsed="false">
      <c r="B134" s="17" t="s">
        <v>659</v>
      </c>
      <c r="C134" s="6" t="s">
        <v>660</v>
      </c>
      <c r="D134" s="28" t="n">
        <f aca="false">N(in_hp1_oth)</f>
        <v>0</v>
      </c>
    </row>
    <row r="135" customFormat="false" ht="15" hidden="false" customHeight="false" outlineLevel="0" collapsed="false">
      <c r="B135" s="17" t="s">
        <v>661</v>
      </c>
      <c r="C135" s="6" t="s">
        <v>662</v>
      </c>
      <c r="D135" s="28" t="n">
        <f aca="false">v_hp1_da+v_hp1_db+v_hp1_dc+v_hp1_dd+v_hp1_de+v_hp1_df</f>
        <v>98750</v>
      </c>
    </row>
    <row r="136" customFormat="false" ht="15" hidden="false" customHeight="false" outlineLevel="0" collapsed="false">
      <c r="B136" s="17" t="s">
        <v>663</v>
      </c>
      <c r="C136" s="6" t="s">
        <v>664</v>
      </c>
      <c r="D136" s="28" t="n">
        <f aca="false">v_hp1_r6-v_hp1_r8</f>
        <v>296250</v>
      </c>
    </row>
    <row r="137" customFormat="false" ht="15" hidden="false" customHeight="false" outlineLevel="0" collapsed="false">
      <c r="B137" s="17" t="s">
        <v>665</v>
      </c>
      <c r="C137" s="6" t="s">
        <v>666</v>
      </c>
      <c r="D137" s="28" t="n">
        <f aca="false">IF(OR(N(in_hp1_share)&lt;=0,N(in_hp1_share)&gt;=100),1,N(in_hp1_share)/100)</f>
        <v>1</v>
      </c>
    </row>
    <row r="138" customFormat="false" ht="15" hidden="false" customHeight="false" outlineLevel="0" collapsed="false">
      <c r="B138" s="17" t="s">
        <v>667</v>
      </c>
      <c r="C138" s="6" t="s">
        <v>668</v>
      </c>
      <c r="D138" s="28" t="n">
        <f aca="false">IF(v_hp1_share&lt;1,ROUND(v_hp1_r9*v_hp1_share,0),v_hp1_r9)</f>
        <v>296250</v>
      </c>
    </row>
    <row r="139" customFormat="false" ht="15" hidden="false" customHeight="false" outlineLevel="0" collapsed="false">
      <c r="B139" s="17" t="s">
        <v>669</v>
      </c>
      <c r="C139" s="6" t="s">
        <v>670</v>
      </c>
      <c r="D139" s="28" t="n">
        <f aca="false">OR(in_hp1_desc&amp;""&lt;&gt;"",v_hp1_r1&lt;&gt;0,v_hp1_r2&lt;&gt;0,v_hp1_r3&lt;&gt;0,v_hp1_r4&lt;&gt;0,v_hp1_r5&lt;&gt;0,v_hp1_r8&lt;&gt;0)</f>
        <v>1</v>
      </c>
    </row>
    <row r="140" customFormat="false" ht="15" hidden="false" customHeight="false" outlineLevel="0" collapsed="false">
      <c r="B140" s="17" t="s">
        <v>671</v>
      </c>
      <c r="C140" s="6" t="s">
        <v>672</v>
      </c>
      <c r="D140" s="28" t="n">
        <f aca="false">N(in_hp2_av)</f>
        <v>0</v>
      </c>
    </row>
    <row r="141" customFormat="false" ht="15" hidden="false" customHeight="false" outlineLevel="0" collapsed="false">
      <c r="B141" s="17" t="s">
        <v>673</v>
      </c>
      <c r="C141" s="6" t="s">
        <v>674</v>
      </c>
      <c r="D141" s="28" t="n">
        <f aca="false">N(in_hp2_adv)</f>
        <v>0</v>
      </c>
    </row>
    <row r="142" customFormat="false" ht="15" hidden="false" customHeight="false" outlineLevel="0" collapsed="false">
      <c r="B142" s="17" t="s">
        <v>675</v>
      </c>
      <c r="C142" s="6" t="s">
        <v>676</v>
      </c>
      <c r="D142" s="28" t="n">
        <f aca="false">N(in_hp2_ben)</f>
        <v>0</v>
      </c>
    </row>
    <row r="143" customFormat="false" ht="15" hidden="false" customHeight="false" outlineLevel="0" collapsed="false">
      <c r="B143" s="17" t="s">
        <v>677</v>
      </c>
      <c r="C143" s="6" t="s">
        <v>678</v>
      </c>
      <c r="D143" s="28" t="n">
        <f aca="false">N(in_hp2_adj)</f>
        <v>0</v>
      </c>
    </row>
    <row r="144" customFormat="false" ht="15" hidden="false" customHeight="false" outlineLevel="0" collapsed="false">
      <c r="B144" s="17" t="s">
        <v>679</v>
      </c>
      <c r="C144" s="6" t="s">
        <v>680</v>
      </c>
      <c r="D144" s="28" t="n">
        <f aca="false">N(in_hp2_vac)</f>
        <v>0</v>
      </c>
    </row>
    <row r="145" customFormat="false" ht="15" hidden="false" customHeight="false" outlineLevel="0" collapsed="false">
      <c r="B145" s="17" t="s">
        <v>681</v>
      </c>
      <c r="C145" s="6" t="s">
        <v>682</v>
      </c>
      <c r="D145" s="28" t="n">
        <f aca="false">v_hp2_r1+v_hp2_r2+v_hp2_r3-v_hp2_r4-v_hp2_r5</f>
        <v>0</v>
      </c>
    </row>
    <row r="146" customFormat="false" ht="15" hidden="false" customHeight="false" outlineLevel="0" collapsed="false">
      <c r="B146" s="17" t="s">
        <v>683</v>
      </c>
      <c r="C146" s="6" t="s">
        <v>684</v>
      </c>
      <c r="D146" s="28" t="n">
        <f aca="false">in_hp2_use="Commercial"</f>
        <v>0</v>
      </c>
    </row>
    <row r="147" customFormat="false" ht="15" hidden="false" customHeight="false" outlineLevel="0" collapsed="false">
      <c r="B147" s="17" t="s">
        <v>685</v>
      </c>
      <c r="C147" s="6" t="s">
        <v>686</v>
      </c>
      <c r="D147" s="28" t="n">
        <f aca="false">ROUND(v_hp2_r6*IF(v_hp2_com,p_repair_com,p_repair_res),0)</f>
        <v>0</v>
      </c>
    </row>
    <row r="148" customFormat="false" ht="15" hidden="false" customHeight="false" outlineLevel="0" collapsed="false">
      <c r="B148" s="17" t="s">
        <v>687</v>
      </c>
      <c r="C148" s="6" t="s">
        <v>688</v>
      </c>
      <c r="D148" s="28" t="n">
        <f aca="false">N(in_hp2_mun)</f>
        <v>0</v>
      </c>
    </row>
    <row r="149" customFormat="false" ht="15" hidden="false" customHeight="false" outlineLevel="0" collapsed="false">
      <c r="B149" s="17" t="s">
        <v>689</v>
      </c>
      <c r="C149" s="6" t="s">
        <v>690</v>
      </c>
      <c r="D149" s="28" t="n">
        <f aca="false">N(in_hp2_land)</f>
        <v>0</v>
      </c>
    </row>
    <row r="150" customFormat="false" ht="15" hidden="false" customHeight="false" outlineLevel="0" collapsed="false">
      <c r="B150" s="17" t="s">
        <v>691</v>
      </c>
      <c r="C150" s="6" t="s">
        <v>692</v>
      </c>
      <c r="D150" s="28" t="n">
        <f aca="false">N(in_hp2_loan)</f>
        <v>0</v>
      </c>
    </row>
    <row r="151" customFormat="false" ht="15" hidden="false" customHeight="false" outlineLevel="0" collapsed="false">
      <c r="B151" s="17" t="s">
        <v>693</v>
      </c>
      <c r="C151" s="6" t="s">
        <v>694</v>
      </c>
      <c r="D151" s="28" t="n">
        <f aca="false">N(in_hp2_ins)</f>
        <v>0</v>
      </c>
    </row>
    <row r="152" customFormat="false" ht="15" hidden="false" customHeight="false" outlineLevel="0" collapsed="false">
      <c r="B152" s="17" t="s">
        <v>695</v>
      </c>
      <c r="C152" s="6" t="s">
        <v>696</v>
      </c>
      <c r="D152" s="28" t="n">
        <f aca="false">N(in_hp2_oth)</f>
        <v>0</v>
      </c>
    </row>
    <row r="153" customFormat="false" ht="15" hidden="false" customHeight="false" outlineLevel="0" collapsed="false">
      <c r="B153" s="17" t="s">
        <v>697</v>
      </c>
      <c r="C153" s="6" t="s">
        <v>698</v>
      </c>
      <c r="D153" s="28" t="n">
        <f aca="false">v_hp2_da+v_hp2_db+v_hp2_dc+v_hp2_dd+v_hp2_de+v_hp2_df</f>
        <v>0</v>
      </c>
    </row>
    <row r="154" customFormat="false" ht="15" hidden="false" customHeight="false" outlineLevel="0" collapsed="false">
      <c r="B154" s="17" t="s">
        <v>699</v>
      </c>
      <c r="C154" s="6" t="s">
        <v>700</v>
      </c>
      <c r="D154" s="28" t="n">
        <f aca="false">v_hp2_r6-v_hp2_r8</f>
        <v>0</v>
      </c>
    </row>
    <row r="155" customFormat="false" ht="15" hidden="false" customHeight="false" outlineLevel="0" collapsed="false">
      <c r="B155" s="17" t="s">
        <v>701</v>
      </c>
      <c r="C155" s="6" t="s">
        <v>702</v>
      </c>
      <c r="D155" s="28" t="n">
        <f aca="false">IF(OR(N(in_hp2_share)&lt;=0,N(in_hp2_share)&gt;=100),1,N(in_hp2_share)/100)</f>
        <v>1</v>
      </c>
    </row>
    <row r="156" customFormat="false" ht="15" hidden="false" customHeight="false" outlineLevel="0" collapsed="false">
      <c r="B156" s="17" t="s">
        <v>703</v>
      </c>
      <c r="C156" s="6" t="s">
        <v>704</v>
      </c>
      <c r="D156" s="28" t="n">
        <f aca="false">IF(v_hp2_share&lt;1,ROUND(v_hp2_r9*v_hp2_share,0),v_hp2_r9)</f>
        <v>0</v>
      </c>
    </row>
    <row r="157" customFormat="false" ht="15" hidden="false" customHeight="false" outlineLevel="0" collapsed="false">
      <c r="B157" s="17" t="s">
        <v>705</v>
      </c>
      <c r="C157" s="6" t="s">
        <v>706</v>
      </c>
      <c r="D157" s="28" t="n">
        <f aca="false">OR(in_hp2_desc&amp;""&lt;&gt;"",v_hp2_r1&lt;&gt;0,v_hp2_r2&lt;&gt;0,v_hp2_r3&lt;&gt;0,v_hp2_r4&lt;&gt;0,v_hp2_r5&lt;&gt;0,v_hp2_r8&lt;&gt;0)</f>
        <v>0</v>
      </c>
    </row>
    <row r="158" customFormat="false" ht="15" hidden="false" customHeight="false" outlineLevel="0" collapsed="false">
      <c r="B158" s="17" t="s">
        <v>707</v>
      </c>
      <c r="C158" s="6" t="s">
        <v>708</v>
      </c>
      <c r="D158" s="28" t="n">
        <f aca="false">N(in_hp3_av)</f>
        <v>0</v>
      </c>
    </row>
    <row r="159" customFormat="false" ht="15" hidden="false" customHeight="false" outlineLevel="0" collapsed="false">
      <c r="B159" s="17" t="s">
        <v>709</v>
      </c>
      <c r="C159" s="6" t="s">
        <v>710</v>
      </c>
      <c r="D159" s="28" t="n">
        <f aca="false">N(in_hp3_adv)</f>
        <v>0</v>
      </c>
    </row>
    <row r="160" customFormat="false" ht="15" hidden="false" customHeight="false" outlineLevel="0" collapsed="false">
      <c r="B160" s="17" t="s">
        <v>711</v>
      </c>
      <c r="C160" s="6" t="s">
        <v>712</v>
      </c>
      <c r="D160" s="28" t="n">
        <f aca="false">N(in_hp3_ben)</f>
        <v>0</v>
      </c>
    </row>
    <row r="161" customFormat="false" ht="15" hidden="false" customHeight="false" outlineLevel="0" collapsed="false">
      <c r="B161" s="17" t="s">
        <v>713</v>
      </c>
      <c r="C161" s="6" t="s">
        <v>714</v>
      </c>
      <c r="D161" s="28" t="n">
        <f aca="false">N(in_hp3_adj)</f>
        <v>0</v>
      </c>
    </row>
    <row r="162" customFormat="false" ht="15" hidden="false" customHeight="false" outlineLevel="0" collapsed="false">
      <c r="B162" s="17" t="s">
        <v>715</v>
      </c>
      <c r="C162" s="6" t="s">
        <v>716</v>
      </c>
      <c r="D162" s="28" t="n">
        <f aca="false">N(in_hp3_vac)</f>
        <v>0</v>
      </c>
    </row>
    <row r="163" customFormat="false" ht="15" hidden="false" customHeight="false" outlineLevel="0" collapsed="false">
      <c r="B163" s="17" t="s">
        <v>717</v>
      </c>
      <c r="C163" s="6" t="s">
        <v>718</v>
      </c>
      <c r="D163" s="28" t="n">
        <f aca="false">v_hp3_r1+v_hp3_r2+v_hp3_r3-v_hp3_r4-v_hp3_r5</f>
        <v>0</v>
      </c>
    </row>
    <row r="164" customFormat="false" ht="15" hidden="false" customHeight="false" outlineLevel="0" collapsed="false">
      <c r="B164" s="17" t="s">
        <v>719</v>
      </c>
      <c r="C164" s="6" t="s">
        <v>720</v>
      </c>
      <c r="D164" s="28" t="n">
        <f aca="false">in_hp3_use="Commercial"</f>
        <v>0</v>
      </c>
    </row>
    <row r="165" customFormat="false" ht="15" hidden="false" customHeight="false" outlineLevel="0" collapsed="false">
      <c r="B165" s="17" t="s">
        <v>721</v>
      </c>
      <c r="C165" s="6" t="s">
        <v>722</v>
      </c>
      <c r="D165" s="28" t="n">
        <f aca="false">ROUND(v_hp3_r6*IF(v_hp3_com,p_repair_com,p_repair_res),0)</f>
        <v>0</v>
      </c>
    </row>
    <row r="166" customFormat="false" ht="15" hidden="false" customHeight="false" outlineLevel="0" collapsed="false">
      <c r="B166" s="17" t="s">
        <v>723</v>
      </c>
      <c r="C166" s="6" t="s">
        <v>724</v>
      </c>
      <c r="D166" s="28" t="n">
        <f aca="false">N(in_hp3_mun)</f>
        <v>0</v>
      </c>
    </row>
    <row r="167" customFormat="false" ht="15" hidden="false" customHeight="false" outlineLevel="0" collapsed="false">
      <c r="B167" s="17" t="s">
        <v>725</v>
      </c>
      <c r="C167" s="6" t="s">
        <v>726</v>
      </c>
      <c r="D167" s="28" t="n">
        <f aca="false">N(in_hp3_land)</f>
        <v>0</v>
      </c>
    </row>
    <row r="168" customFormat="false" ht="15" hidden="false" customHeight="false" outlineLevel="0" collapsed="false">
      <c r="B168" s="17" t="s">
        <v>727</v>
      </c>
      <c r="C168" s="6" t="s">
        <v>728</v>
      </c>
      <c r="D168" s="28" t="n">
        <f aca="false">N(in_hp3_loan)</f>
        <v>0</v>
      </c>
    </row>
    <row r="169" customFormat="false" ht="15" hidden="false" customHeight="false" outlineLevel="0" collapsed="false">
      <c r="B169" s="17" t="s">
        <v>729</v>
      </c>
      <c r="C169" s="6" t="s">
        <v>730</v>
      </c>
      <c r="D169" s="28" t="n">
        <f aca="false">N(in_hp3_ins)</f>
        <v>0</v>
      </c>
    </row>
    <row r="170" customFormat="false" ht="15" hidden="false" customHeight="false" outlineLevel="0" collapsed="false">
      <c r="B170" s="17" t="s">
        <v>731</v>
      </c>
      <c r="C170" s="6" t="s">
        <v>732</v>
      </c>
      <c r="D170" s="28" t="n">
        <f aca="false">N(in_hp3_oth)</f>
        <v>0</v>
      </c>
    </row>
    <row r="171" customFormat="false" ht="15" hidden="false" customHeight="false" outlineLevel="0" collapsed="false">
      <c r="B171" s="17" t="s">
        <v>733</v>
      </c>
      <c r="C171" s="6" t="s">
        <v>734</v>
      </c>
      <c r="D171" s="28" t="n">
        <f aca="false">v_hp3_da+v_hp3_db+v_hp3_dc+v_hp3_dd+v_hp3_de+v_hp3_df</f>
        <v>0</v>
      </c>
    </row>
    <row r="172" customFormat="false" ht="15" hidden="false" customHeight="false" outlineLevel="0" collapsed="false">
      <c r="B172" s="17" t="s">
        <v>735</v>
      </c>
      <c r="C172" s="6" t="s">
        <v>736</v>
      </c>
      <c r="D172" s="28" t="n">
        <f aca="false">v_hp3_r6-v_hp3_r8</f>
        <v>0</v>
      </c>
    </row>
    <row r="173" customFormat="false" ht="15" hidden="false" customHeight="false" outlineLevel="0" collapsed="false">
      <c r="B173" s="17" t="s">
        <v>737</v>
      </c>
      <c r="C173" s="6" t="s">
        <v>738</v>
      </c>
      <c r="D173" s="28" t="n">
        <f aca="false">IF(OR(N(in_hp3_share)&lt;=0,N(in_hp3_share)&gt;=100),1,N(in_hp3_share)/100)</f>
        <v>1</v>
      </c>
    </row>
    <row r="174" customFormat="false" ht="15" hidden="false" customHeight="false" outlineLevel="0" collapsed="false">
      <c r="B174" s="17" t="s">
        <v>739</v>
      </c>
      <c r="C174" s="6" t="s">
        <v>740</v>
      </c>
      <c r="D174" s="28" t="n">
        <f aca="false">IF(v_hp3_share&lt;1,ROUND(v_hp3_r9*v_hp3_share,0),v_hp3_r9)</f>
        <v>0</v>
      </c>
    </row>
    <row r="175" customFormat="false" ht="15" hidden="false" customHeight="false" outlineLevel="0" collapsed="false">
      <c r="B175" s="17" t="s">
        <v>741</v>
      </c>
      <c r="C175" s="6" t="s">
        <v>742</v>
      </c>
      <c r="D175" s="28" t="n">
        <f aca="false">OR(in_hp3_desc&amp;""&lt;&gt;"",v_hp3_r1&lt;&gt;0,v_hp3_r2&lt;&gt;0,v_hp3_r3&lt;&gt;0,v_hp3_r4&lt;&gt;0,v_hp3_r5&lt;&gt;0,v_hp3_r8&lt;&gt;0)</f>
        <v>0</v>
      </c>
    </row>
    <row r="176" customFormat="false" ht="15" hidden="false" customHeight="false" outlineLevel="0" collapsed="false">
      <c r="B176" s="17" t="s">
        <v>743</v>
      </c>
      <c r="C176" s="6" t="s">
        <v>744</v>
      </c>
      <c r="D176" s="28" t="n">
        <f aca="false">v_hp1_r1+v_hp2_r1+v_hp3_r1</f>
        <v>395000</v>
      </c>
    </row>
    <row r="177" customFormat="false" ht="15" hidden="false" customHeight="false" outlineLevel="0" collapsed="false">
      <c r="B177" s="17" t="s">
        <v>745</v>
      </c>
      <c r="C177" s="6" t="s">
        <v>746</v>
      </c>
      <c r="D177" s="28" t="n">
        <f aca="false">v_hp1_r2+v_hp2_r2+v_hp3_r2</f>
        <v>0</v>
      </c>
    </row>
    <row r="178" customFormat="false" ht="15" hidden="false" customHeight="false" outlineLevel="0" collapsed="false">
      <c r="B178" s="17" t="s">
        <v>747</v>
      </c>
      <c r="C178" s="6" t="s">
        <v>748</v>
      </c>
      <c r="D178" s="28" t="n">
        <f aca="false">v_hp1_r3+v_hp2_r3+v_hp3_r3</f>
        <v>0</v>
      </c>
    </row>
    <row r="179" customFormat="false" ht="15" hidden="false" customHeight="false" outlineLevel="0" collapsed="false">
      <c r="B179" s="17" t="s">
        <v>749</v>
      </c>
      <c r="C179" s="6" t="s">
        <v>750</v>
      </c>
      <c r="D179" s="28" t="n">
        <f aca="false">v_hp1_r4+v_hp2_r4+v_hp3_r4</f>
        <v>0</v>
      </c>
    </row>
    <row r="180" customFormat="false" ht="15" hidden="false" customHeight="false" outlineLevel="0" collapsed="false">
      <c r="B180" s="17" t="s">
        <v>751</v>
      </c>
      <c r="C180" s="6" t="s">
        <v>752</v>
      </c>
      <c r="D180" s="28" t="n">
        <f aca="false">v_hp1_r5+v_hp2_r5+v_hp3_r5</f>
        <v>0</v>
      </c>
    </row>
    <row r="181" customFormat="false" ht="15" hidden="false" customHeight="false" outlineLevel="0" collapsed="false">
      <c r="B181" s="17" t="s">
        <v>753</v>
      </c>
      <c r="C181" s="6" t="s">
        <v>754</v>
      </c>
      <c r="D181" s="28" t="n">
        <f aca="false">v_hp1_r6+v_hp2_r6+v_hp3_r6</f>
        <v>395000</v>
      </c>
    </row>
    <row r="182" customFormat="false" ht="15" hidden="false" customHeight="false" outlineLevel="0" collapsed="false">
      <c r="B182" s="17" t="s">
        <v>755</v>
      </c>
      <c r="C182" s="6" t="s">
        <v>756</v>
      </c>
      <c r="D182" s="28" t="n">
        <f aca="false">v_hp1_da+v_hp2_da+v_hp3_da</f>
        <v>98750</v>
      </c>
    </row>
    <row r="183" customFormat="false" ht="15" hidden="false" customHeight="false" outlineLevel="0" collapsed="false">
      <c r="B183" s="17" t="s">
        <v>757</v>
      </c>
      <c r="C183" s="6" t="s">
        <v>758</v>
      </c>
      <c r="D183" s="28" t="n">
        <f aca="false">v_hp1_db+v_hp2_db+v_hp3_db</f>
        <v>0</v>
      </c>
    </row>
    <row r="184" customFormat="false" ht="15" hidden="false" customHeight="false" outlineLevel="0" collapsed="false">
      <c r="B184" s="17" t="s">
        <v>759</v>
      </c>
      <c r="C184" s="6" t="s">
        <v>760</v>
      </c>
      <c r="D184" s="28" t="n">
        <f aca="false">v_hp1_dc+v_hp2_dc+v_hp3_dc</f>
        <v>0</v>
      </c>
    </row>
    <row r="185" customFormat="false" ht="15" hidden="false" customHeight="false" outlineLevel="0" collapsed="false">
      <c r="B185" s="17" t="s">
        <v>761</v>
      </c>
      <c r="C185" s="6" t="s">
        <v>762</v>
      </c>
      <c r="D185" s="28" t="n">
        <f aca="false">v_hp1_dd+v_hp2_dd+v_hp3_dd</f>
        <v>0</v>
      </c>
    </row>
    <row r="186" customFormat="false" ht="15" hidden="false" customHeight="false" outlineLevel="0" collapsed="false">
      <c r="B186" s="17" t="s">
        <v>763</v>
      </c>
      <c r="C186" s="6" t="s">
        <v>764</v>
      </c>
      <c r="D186" s="28" t="n">
        <f aca="false">v_hp1_de+v_hp2_de+v_hp3_de</f>
        <v>0</v>
      </c>
    </row>
    <row r="187" customFormat="false" ht="15" hidden="false" customHeight="false" outlineLevel="0" collapsed="false">
      <c r="B187" s="17" t="s">
        <v>765</v>
      </c>
      <c r="C187" s="6" t="s">
        <v>766</v>
      </c>
      <c r="D187" s="28" t="n">
        <f aca="false">v_hp1_df+v_hp2_df+v_hp3_df</f>
        <v>0</v>
      </c>
    </row>
    <row r="188" customFormat="false" ht="15" hidden="false" customHeight="false" outlineLevel="0" collapsed="false">
      <c r="B188" s="17" t="s">
        <v>767</v>
      </c>
      <c r="C188" s="6" t="s">
        <v>768</v>
      </c>
      <c r="D188" s="28" t="n">
        <f aca="false">v_hp1_r8+v_hp2_r8+v_hp3_r8</f>
        <v>98750</v>
      </c>
    </row>
    <row r="189" customFormat="false" ht="15" hidden="false" customHeight="false" outlineLevel="0" collapsed="false">
      <c r="B189" s="17" t="s">
        <v>769</v>
      </c>
      <c r="C189" s="6" t="s">
        <v>770</v>
      </c>
      <c r="D189" s="28" t="n">
        <f aca="false">v_hp1_r9+v_hp2_r9+v_hp3_r9</f>
        <v>296250</v>
      </c>
    </row>
    <row r="190" customFormat="false" ht="15" hidden="false" customHeight="false" outlineLevel="0" collapsed="false">
      <c r="B190" s="17" t="s">
        <v>771</v>
      </c>
      <c r="C190" s="6" t="s">
        <v>772</v>
      </c>
      <c r="D190" s="28" t="n">
        <f aca="false">v_s2_r8</f>
        <v>98750</v>
      </c>
    </row>
    <row r="191" customFormat="false" ht="15" hidden="false" customHeight="false" outlineLevel="0" collapsed="false">
      <c r="B191" s="17" t="s">
        <v>773</v>
      </c>
      <c r="C191" s="6" t="s">
        <v>774</v>
      </c>
      <c r="D191" s="28" t="str">
        <f aca="false">IF(OR(v_hp1_share&lt;1,v_hp2_share&lt;1,v_hp3_share&lt;1),v_hp1_income+v_hp2_income+v_hp3_income,"")</f>
        <v/>
      </c>
    </row>
    <row r="192" customFormat="false" ht="15" hidden="false" customHeight="false" outlineLevel="0" collapsed="false">
      <c r="B192" s="17" t="s">
        <v>775</v>
      </c>
      <c r="C192" s="6" t="s">
        <v>776</v>
      </c>
      <c r="D192" s="28" t="n">
        <f aca="false">v_hp1_used*1+v_hp2_used*1+v_hp3_used*1</f>
        <v>1</v>
      </c>
    </row>
    <row r="193" customFormat="false" ht="15" hidden="false" customHeight="false" outlineLevel="0" collapsed="false">
      <c r="B193" s="17" t="s">
        <v>777</v>
      </c>
      <c r="C193" s="6" t="s">
        <v>778</v>
      </c>
      <c r="D193" s="28" t="n">
        <f aca="false">AND(v_hp1_used,v_hp1_com)*1+AND(v_hp2_used,v_hp2_com)*1+AND(v_hp3_used,v_hp3_com)*1</f>
        <v>0</v>
      </c>
    </row>
    <row r="194" customFormat="false" ht="15" hidden="false" customHeight="false" outlineLevel="0" collapsed="false">
      <c r="B194" s="17" t="s">
        <v>779</v>
      </c>
      <c r="C194" s="6" t="s">
        <v>780</v>
      </c>
      <c r="D194" s="28" t="str">
        <f aca="false">IF(v_s2_ncom=0,TEXT(p_repair_res*100,"0")&amp;"%",IF(v_s2_ncom=v_s2_nused,TEXT(p_repair_com*100,"0")&amp;"%","Mixed"))</f>
        <v>25%</v>
      </c>
    </row>
    <row r="195" customFormat="false" ht="15" hidden="false" customHeight="false" outlineLevel="0" collapsed="false">
      <c r="B195" s="17" t="s">
        <v>781</v>
      </c>
      <c r="C195" s="6" t="s">
        <v>782</v>
      </c>
      <c r="D195" s="28" t="str">
        <f aca="false">in_hp1_desc&amp;IF(AND(in_hp1_desc&amp;""&lt;&gt;"",in_hp2_desc&amp;""&lt;&gt;""),"; ","")&amp;in_hp2_desc&amp;IF(AND(in_hp1_desc&amp;in_hp2_desc&lt;&gt;"",in_hp3_desc&amp;""&lt;&gt;""),"; ","")&amp;in_hp3_desc</f>
        <v/>
      </c>
    </row>
    <row r="196" customFormat="false" ht="15" hidden="false" customHeight="false" outlineLevel="0" collapsed="false">
      <c r="B196" s="17" t="s">
        <v>783</v>
      </c>
      <c r="C196" s="6" t="s">
        <v>784</v>
      </c>
      <c r="D196" s="28" t="n">
        <f aca="false">v_hp1_income*v_hp1_used+v_hp2_income*v_hp2_used+v_hp3_income*v_hp3_used</f>
        <v>296250</v>
      </c>
    </row>
    <row r="197" customFormat="false" ht="15" hidden="false" customHeight="false" outlineLevel="0" collapsed="false">
      <c r="B197" s="17" t="s">
        <v>785</v>
      </c>
      <c r="C197" s="6" t="s">
        <v>125</v>
      </c>
      <c r="D197" s="28" t="str">
        <f aca="false">in_ag_nature&amp;""</f>
        <v/>
      </c>
    </row>
    <row r="198" customFormat="false" ht="15" hidden="false" customHeight="false" outlineLevel="0" collapsed="false">
      <c r="B198" s="17" t="s">
        <v>786</v>
      </c>
      <c r="C198" s="6" t="s">
        <v>787</v>
      </c>
      <c r="D198" s="28" t="n">
        <f aca="false">N(in_ag_turnover)</f>
        <v>0</v>
      </c>
    </row>
    <row r="199" customFormat="false" ht="15" hidden="false" customHeight="false" outlineLevel="0" collapsed="false">
      <c r="B199" s="17" t="s">
        <v>788</v>
      </c>
      <c r="C199" s="6" t="s">
        <v>789</v>
      </c>
      <c r="D199" s="28" t="n">
        <f aca="false">N(in_ag_gp)</f>
        <v>0</v>
      </c>
    </row>
    <row r="200" customFormat="false" ht="15" hidden="false" customHeight="false" outlineLevel="0" collapsed="false">
      <c r="B200" s="17" t="s">
        <v>790</v>
      </c>
      <c r="C200" s="6" t="s">
        <v>791</v>
      </c>
      <c r="D200" s="28" t="n">
        <f aca="false">N(in_ag_exp)</f>
        <v>0</v>
      </c>
    </row>
    <row r="201" customFormat="false" ht="15" hidden="false" customHeight="false" outlineLevel="0" collapsed="false">
      <c r="B201" s="17" t="s">
        <v>792</v>
      </c>
      <c r="C201" s="6" t="s">
        <v>793</v>
      </c>
      <c r="D201" s="28" t="n">
        <f aca="false">v_s3_r2-v_s3_r3</f>
        <v>0</v>
      </c>
    </row>
    <row r="202" customFormat="false" ht="15" hidden="false" customHeight="false" outlineLevel="0" collapsed="false">
      <c r="B202" s="17" t="s">
        <v>794</v>
      </c>
      <c r="C202" s="6" t="s">
        <v>795</v>
      </c>
      <c r="D202" s="28" t="str">
        <f aca="false">in_bz_name&amp;""</f>
        <v/>
      </c>
    </row>
    <row r="203" customFormat="false" ht="15" hidden="false" customHeight="false" outlineLevel="0" collapsed="false">
      <c r="B203" s="17" t="s">
        <v>796</v>
      </c>
      <c r="C203" s="6" t="s">
        <v>797</v>
      </c>
      <c r="D203" s="28" t="str">
        <f aca="false">in_bz_nature&amp;""</f>
        <v/>
      </c>
    </row>
    <row r="204" customFormat="false" ht="15" hidden="false" customHeight="false" outlineLevel="0" collapsed="false">
      <c r="B204" s="17" t="s">
        <v>798</v>
      </c>
      <c r="C204" s="6" t="s">
        <v>799</v>
      </c>
      <c r="D204" s="28" t="str">
        <f aca="false">in_bz_address&amp;""</f>
        <v/>
      </c>
    </row>
    <row r="205" customFormat="false" ht="15" hidden="false" customHeight="false" outlineLevel="0" collapsed="false">
      <c r="B205" s="17" t="s">
        <v>800</v>
      </c>
      <c r="C205" s="6" t="s">
        <v>801</v>
      </c>
      <c r="D205" s="28" t="n">
        <f aca="false">N(in_bz_turnover)</f>
        <v>0</v>
      </c>
    </row>
    <row r="206" customFormat="false" ht="15" hidden="false" customHeight="false" outlineLevel="0" collapsed="false">
      <c r="B206" s="17" t="s">
        <v>802</v>
      </c>
      <c r="C206" s="6" t="s">
        <v>127</v>
      </c>
      <c r="D206" s="28" t="n">
        <f aca="false">N(in_bz_gp)</f>
        <v>0</v>
      </c>
    </row>
    <row r="207" customFormat="false" ht="15" hidden="false" customHeight="false" outlineLevel="0" collapsed="false">
      <c r="B207" s="17" t="s">
        <v>803</v>
      </c>
      <c r="C207" s="6" t="s">
        <v>804</v>
      </c>
      <c r="D207" s="28" t="n">
        <f aca="false">N(in_bz_exp)</f>
        <v>0</v>
      </c>
    </row>
    <row r="208" customFormat="false" ht="15" hidden="false" customHeight="false" outlineLevel="0" collapsed="false">
      <c r="B208" s="17" t="s">
        <v>805</v>
      </c>
      <c r="C208" s="6" t="s">
        <v>133</v>
      </c>
      <c r="D208" s="28" t="n">
        <f aca="false">N(in_bz_bad)</f>
        <v>0</v>
      </c>
    </row>
    <row r="209" customFormat="false" ht="15" hidden="false" customHeight="false" outlineLevel="0" collapsed="false">
      <c r="B209" s="17" t="s">
        <v>806</v>
      </c>
      <c r="C209" s="6" t="s">
        <v>807</v>
      </c>
      <c r="D209" s="28" t="n">
        <f aca="false">v_s4_r2-v_s4_r3-v_s4_r4</f>
        <v>0</v>
      </c>
    </row>
    <row r="210" customFormat="false" ht="15" hidden="false" customHeight="false" outlineLevel="0" collapsed="false">
      <c r="B210" s="17" t="s">
        <v>808</v>
      </c>
      <c r="C210" s="6" t="s">
        <v>135</v>
      </c>
      <c r="D210" s="28" t="n">
        <f aca="false">N(in_bs_cash_bank)</f>
        <v>0</v>
      </c>
    </row>
    <row r="211" customFormat="false" ht="15" hidden="false" customHeight="false" outlineLevel="0" collapsed="false">
      <c r="B211" s="17" t="s">
        <v>809</v>
      </c>
      <c r="C211" s="6" t="s">
        <v>136</v>
      </c>
      <c r="D211" s="28" t="n">
        <f aca="false">N(in_bs_inventory)</f>
        <v>0</v>
      </c>
    </row>
    <row r="212" customFormat="false" ht="15" hidden="false" customHeight="false" outlineLevel="0" collapsed="false">
      <c r="B212" s="17" t="s">
        <v>810</v>
      </c>
      <c r="C212" s="6" t="s">
        <v>137</v>
      </c>
      <c r="D212" s="28" t="n">
        <f aca="false">N(in_bs_fixed_assets)</f>
        <v>0</v>
      </c>
    </row>
    <row r="213" customFormat="false" ht="15" hidden="false" customHeight="false" outlineLevel="0" collapsed="false">
      <c r="B213" s="17" t="s">
        <v>811</v>
      </c>
      <c r="C213" s="6" t="s">
        <v>138</v>
      </c>
      <c r="D213" s="28" t="n">
        <f aca="false">N(in_bs_other_assets)</f>
        <v>0</v>
      </c>
    </row>
    <row r="214" customFormat="false" ht="15" hidden="false" customHeight="false" outlineLevel="0" collapsed="false">
      <c r="B214" s="17" t="s">
        <v>812</v>
      </c>
      <c r="C214" s="6" t="s">
        <v>813</v>
      </c>
      <c r="D214" s="28" t="n">
        <f aca="false">v_s4_r6+v_s4_r7+v_s4_r8+v_s4_r9</f>
        <v>0</v>
      </c>
    </row>
    <row r="215" customFormat="false" ht="15" hidden="false" customHeight="false" outlineLevel="0" collapsed="false">
      <c r="B215" s="17" t="s">
        <v>814</v>
      </c>
      <c r="C215" s="6" t="s">
        <v>139</v>
      </c>
      <c r="D215" s="28" t="n">
        <f aca="false">N(in_bs_opening_capital)</f>
        <v>0</v>
      </c>
    </row>
    <row r="216" customFormat="false" ht="15" hidden="false" customHeight="false" outlineLevel="0" collapsed="false">
      <c r="B216" s="17" t="s">
        <v>815</v>
      </c>
      <c r="C216" s="6" t="s">
        <v>807</v>
      </c>
      <c r="D216" s="28" t="n">
        <f aca="false">v_s4_r5</f>
        <v>0</v>
      </c>
    </row>
    <row r="217" customFormat="false" ht="15" hidden="false" customHeight="false" outlineLevel="0" collapsed="false">
      <c r="B217" s="17" t="s">
        <v>816</v>
      </c>
      <c r="C217" s="6" t="s">
        <v>817</v>
      </c>
      <c r="D217" s="28" t="n">
        <f aca="false">N(in_bs_drawings)</f>
        <v>0</v>
      </c>
    </row>
    <row r="218" customFormat="false" ht="15" hidden="false" customHeight="false" outlineLevel="0" collapsed="false">
      <c r="B218" s="17" t="s">
        <v>818</v>
      </c>
      <c r="C218" s="6" t="s">
        <v>819</v>
      </c>
      <c r="D218" s="28" t="n">
        <f aca="false">v_s4_r11+v_s4_r12-v_s4_r13</f>
        <v>0</v>
      </c>
    </row>
    <row r="219" customFormat="false" ht="15" hidden="false" customHeight="false" outlineLevel="0" collapsed="false">
      <c r="B219" s="17" t="s">
        <v>820</v>
      </c>
      <c r="C219" s="6" t="s">
        <v>141</v>
      </c>
      <c r="D219" s="28" t="n">
        <f aca="false">N(in_bs_liabilities)</f>
        <v>0</v>
      </c>
    </row>
    <row r="220" customFormat="false" ht="15" hidden="false" customHeight="false" outlineLevel="0" collapsed="false">
      <c r="B220" s="17" t="s">
        <v>821</v>
      </c>
      <c r="C220" s="6" t="s">
        <v>822</v>
      </c>
      <c r="D220" s="28" t="n">
        <f aca="false">v_s4_r14+v_s4_r15</f>
        <v>0</v>
      </c>
    </row>
    <row r="221" customFormat="false" ht="15" hidden="false" customHeight="false" outlineLevel="0" collapsed="false">
      <c r="B221" s="17" t="s">
        <v>823</v>
      </c>
      <c r="C221" s="6" t="s">
        <v>824</v>
      </c>
      <c r="D221" s="28" t="n">
        <f aca="false">COUNTA(in_bs_all)&gt;0</f>
        <v>0</v>
      </c>
    </row>
    <row r="222" customFormat="false" ht="15" hidden="false" customHeight="false" outlineLevel="0" collapsed="false">
      <c r="B222" s="17" t="s">
        <v>311</v>
      </c>
      <c r="C222" s="6" t="s">
        <v>825</v>
      </c>
      <c r="D222" s="28" t="n">
        <f aca="false">v_s1a_tax+v_s1b_net</f>
        <v>515808</v>
      </c>
    </row>
    <row r="223" customFormat="false" ht="15" hidden="false" customHeight="false" outlineLevel="0" collapsed="false">
      <c r="B223" s="17" t="s">
        <v>315</v>
      </c>
      <c r="C223" s="6" t="s">
        <v>826</v>
      </c>
      <c r="D223" s="28" t="n">
        <f aca="false">v_house_income</f>
        <v>296250</v>
      </c>
    </row>
    <row r="224" customFormat="false" ht="15" hidden="false" customHeight="false" outlineLevel="0" collapsed="false">
      <c r="B224" s="17" t="s">
        <v>319</v>
      </c>
      <c r="C224" s="6" t="s">
        <v>827</v>
      </c>
      <c r="D224" s="28" t="n">
        <f aca="false">v_s3_r4</f>
        <v>0</v>
      </c>
    </row>
    <row r="225" customFormat="false" ht="15" hidden="false" customHeight="false" outlineLevel="0" collapsed="false">
      <c r="B225" s="17" t="s">
        <v>323</v>
      </c>
      <c r="C225" s="6" t="s">
        <v>828</v>
      </c>
      <c r="D225" s="28" t="n">
        <f aca="false">v_s4_r5</f>
        <v>0</v>
      </c>
    </row>
    <row r="226" customFormat="false" ht="15" hidden="false" customHeight="false" outlineLevel="0" collapsed="false">
      <c r="B226" s="17" t="s">
        <v>325</v>
      </c>
      <c r="C226" s="6" t="s">
        <v>829</v>
      </c>
      <c r="D226" s="28" t="n">
        <f aca="false">N(in_oi_cg)</f>
        <v>0</v>
      </c>
    </row>
    <row r="227" customFormat="false" ht="15" hidden="false" customHeight="false" outlineLevel="0" collapsed="false">
      <c r="B227" s="17" t="s">
        <v>830</v>
      </c>
      <c r="C227" s="6" t="s">
        <v>831</v>
      </c>
      <c r="D227" s="28" t="n">
        <f aca="false">N(in_oi_fin)+N(in_oi_sp)</f>
        <v>0</v>
      </c>
    </row>
    <row r="228" customFormat="false" ht="15" hidden="false" customHeight="false" outlineLevel="0" collapsed="false">
      <c r="B228" s="17" t="s">
        <v>832</v>
      </c>
      <c r="C228" s="6" t="s">
        <v>833</v>
      </c>
      <c r="D228" s="28" t="n">
        <f aca="false">N(in_oi_other)</f>
        <v>0</v>
      </c>
    </row>
    <row r="229" customFormat="false" ht="15" hidden="false" customHeight="false" outlineLevel="0" collapsed="false">
      <c r="B229" s="17" t="s">
        <v>834</v>
      </c>
      <c r="C229" s="6" t="s">
        <v>835</v>
      </c>
      <c r="D229" s="28" t="n">
        <f aca="false">N(in_oi_firm)</f>
        <v>0</v>
      </c>
    </row>
    <row r="230" customFormat="false" ht="15" hidden="false" customHeight="false" outlineLevel="0" collapsed="false">
      <c r="B230" s="17" t="s">
        <v>836</v>
      </c>
      <c r="C230" s="6" t="s">
        <v>837</v>
      </c>
      <c r="D230" s="28" t="n">
        <f aca="false">N(in_oi_minor)</f>
        <v>0</v>
      </c>
    </row>
    <row r="231" customFormat="false" ht="15" hidden="false" customHeight="false" outlineLevel="0" collapsed="false">
      <c r="B231" s="17" t="s">
        <v>838</v>
      </c>
      <c r="C231" s="6" t="s">
        <v>839</v>
      </c>
      <c r="D231" s="28" t="n">
        <f aca="false">N(in_oi_foreign)</f>
        <v>0</v>
      </c>
    </row>
    <row r="232" customFormat="false" ht="15" hidden="false" customHeight="false" outlineLevel="0" collapsed="false">
      <c r="B232" s="17" t="s">
        <v>840</v>
      </c>
      <c r="C232" s="6" t="s">
        <v>841</v>
      </c>
      <c r="D232" s="28" t="n">
        <f aca="false">SUM(D222:D231)</f>
        <v>812058</v>
      </c>
    </row>
    <row r="233" customFormat="false" ht="15" hidden="false" customHeight="false" outlineLevel="0" collapsed="false">
      <c r="B233" s="17" t="s">
        <v>842</v>
      </c>
      <c r="C233" s="6" t="s">
        <v>843</v>
      </c>
      <c r="D233" s="28" t="n">
        <f aca="false">v_s1a_exm+v_s1b_exempt+N(in_tf_salary_other)</f>
        <v>5308</v>
      </c>
    </row>
    <row r="234" customFormat="false" ht="15" hidden="false" customHeight="false" outlineLevel="0" collapsed="false">
      <c r="B234" s="17" t="s">
        <v>844</v>
      </c>
      <c r="C234" s="6" t="s">
        <v>845</v>
      </c>
      <c r="D234" s="28" t="n">
        <f aca="false">N(in_tf_govt_pf)</f>
        <v>0</v>
      </c>
    </row>
    <row r="235" customFormat="false" ht="15" hidden="false" customHeight="false" outlineLevel="0" collapsed="false">
      <c r="B235" s="17" t="s">
        <v>846</v>
      </c>
      <c r="C235" s="6" t="s">
        <v>847</v>
      </c>
      <c r="D235" s="28" t="n">
        <f aca="false">N(in_tf_taxed_distribution)</f>
        <v>0</v>
      </c>
    </row>
    <row r="236" customFormat="false" ht="15" hidden="false" customHeight="false" outlineLevel="0" collapsed="false">
      <c r="B236" s="17" t="s">
        <v>848</v>
      </c>
      <c r="C236" s="6" t="s">
        <v>849</v>
      </c>
      <c r="D236" s="28" t="n">
        <f aca="false">N(in_tf_pf_1925_income)</f>
        <v>0</v>
      </c>
    </row>
    <row r="237" customFormat="false" ht="15" hidden="false" customHeight="false" outlineLevel="0" collapsed="false">
      <c r="B237" s="17" t="s">
        <v>850</v>
      </c>
      <c r="C237" s="6" t="s">
        <v>851</v>
      </c>
      <c r="D237" s="28" t="n">
        <f aca="false">N(in_tf_voluntary_retirement)</f>
        <v>0</v>
      </c>
    </row>
    <row r="238" customFormat="false" ht="15" hidden="false" customHeight="false" outlineLevel="0" collapsed="false">
      <c r="B238" s="17" t="s">
        <v>852</v>
      </c>
      <c r="C238" s="6" t="s">
        <v>853</v>
      </c>
      <c r="D238" s="28" t="n">
        <f aca="false">N(in_tf_pensioners_savings_certificate)</f>
        <v>0</v>
      </c>
    </row>
    <row r="239" customFormat="false" ht="15" hidden="false" customHeight="false" outlineLevel="0" collapsed="false">
      <c r="B239" s="17" t="s">
        <v>854</v>
      </c>
      <c r="C239" s="6" t="s">
        <v>855</v>
      </c>
      <c r="D239" s="28" t="n">
        <f aca="false">N(in_tf_firm_capital_share)</f>
        <v>0</v>
      </c>
    </row>
    <row r="240" customFormat="false" ht="15" hidden="false" customHeight="false" outlineLevel="0" collapsed="false">
      <c r="B240" s="17" t="s">
        <v>856</v>
      </c>
      <c r="C240" s="6" t="s">
        <v>857</v>
      </c>
      <c r="D240" s="28" t="n">
        <f aca="false">N(in_tf_huf_share)</f>
        <v>0</v>
      </c>
    </row>
    <row r="241" customFormat="false" ht="15" hidden="false" customHeight="false" outlineLevel="0" collapsed="false">
      <c r="B241" s="17" t="s">
        <v>858</v>
      </c>
      <c r="C241" s="6" t="s">
        <v>859</v>
      </c>
      <c r="D241" s="28" t="n">
        <f aca="false">N(in_tf_foreign_remittance)</f>
        <v>0</v>
      </c>
    </row>
    <row r="242" customFormat="false" ht="15" hidden="false" customHeight="false" outlineLevel="0" collapsed="false">
      <c r="B242" s="17" t="s">
        <v>860</v>
      </c>
      <c r="C242" s="6" t="s">
        <v>861</v>
      </c>
      <c r="D242" s="28" t="n">
        <f aca="false">N(in_tf_wage_earners_fund)</f>
        <v>0</v>
      </c>
    </row>
    <row r="243" customFormat="false" ht="15" hidden="false" customHeight="false" outlineLevel="0" collapsed="false">
      <c r="B243" s="17" t="s">
        <v>862</v>
      </c>
      <c r="C243" s="6" t="s">
        <v>863</v>
      </c>
      <c r="D243" s="28" t="n">
        <f aca="false">N(in_tf_hill_tracts)</f>
        <v>0</v>
      </c>
    </row>
    <row r="244" customFormat="false" ht="15" hidden="false" customHeight="false" outlineLevel="0" collapsed="false">
      <c r="B244" s="17" t="s">
        <v>864</v>
      </c>
      <c r="C244" s="6" t="s">
        <v>865</v>
      </c>
      <c r="D244" s="28" t="n">
        <f aca="false">N(in_tf_agricultural)</f>
        <v>0</v>
      </c>
    </row>
    <row r="245" customFormat="false" ht="15" hidden="false" customHeight="false" outlineLevel="0" collapsed="false">
      <c r="B245" s="17" t="s">
        <v>866</v>
      </c>
      <c r="C245" s="6" t="s">
        <v>867</v>
      </c>
      <c r="D245" s="28" t="n">
        <f aca="false">N(in_tf_software_it)</f>
        <v>0</v>
      </c>
    </row>
    <row r="246" customFormat="false" ht="15" hidden="false" customHeight="false" outlineLevel="0" collapsed="false">
      <c r="B246" s="17" t="s">
        <v>868</v>
      </c>
      <c r="C246" s="6" t="s">
        <v>869</v>
      </c>
      <c r="D246" s="28" t="n">
        <f aca="false">N(in_tf_handicrafts_export)</f>
        <v>0</v>
      </c>
    </row>
    <row r="247" customFormat="false" ht="15" hidden="false" customHeight="false" outlineLevel="0" collapsed="false">
      <c r="B247" s="17" t="s">
        <v>870</v>
      </c>
      <c r="C247" s="6" t="s">
        <v>871</v>
      </c>
      <c r="D247" s="28" t="n">
        <f aca="false">N(in_tf_sme)</f>
        <v>0</v>
      </c>
    </row>
    <row r="248" customFormat="false" ht="15" hidden="false" customHeight="false" outlineLevel="0" collapsed="false">
      <c r="B248" s="17" t="s">
        <v>872</v>
      </c>
      <c r="C248" s="6" t="s">
        <v>873</v>
      </c>
      <c r="D248" s="28" t="n">
        <f aca="false">N(in_tf_zero_coupon)</f>
        <v>0</v>
      </c>
    </row>
    <row r="249" customFormat="false" ht="15" hidden="false" customHeight="false" outlineLevel="0" collapsed="false">
      <c r="B249" s="17" t="s">
        <v>874</v>
      </c>
      <c r="C249" s="6" t="s">
        <v>875</v>
      </c>
      <c r="D249" s="28" t="n">
        <f aca="false">N(in_tf_govt_pension)</f>
        <v>0</v>
      </c>
    </row>
    <row r="250" customFormat="false" ht="15" hidden="false" customHeight="false" outlineLevel="0" collapsed="false">
      <c r="B250" s="17" t="s">
        <v>876</v>
      </c>
      <c r="C250" s="6" t="s">
        <v>877</v>
      </c>
      <c r="D250" s="28" t="n">
        <f aca="false">N(in_tf_welfare_allowance)</f>
        <v>0</v>
      </c>
    </row>
    <row r="251" customFormat="false" ht="15" hidden="false" customHeight="false" outlineLevel="0" collapsed="false">
      <c r="B251" s="17" t="s">
        <v>878</v>
      </c>
      <c r="C251" s="6" t="s">
        <v>879</v>
      </c>
      <c r="D251" s="28" t="n">
        <f aca="false">N(in_tf_govt_award)</f>
        <v>0</v>
      </c>
    </row>
    <row r="252" customFormat="false" ht="15" hidden="false" customHeight="false" outlineLevel="0" collapsed="false">
      <c r="B252" s="17" t="s">
        <v>880</v>
      </c>
      <c r="C252" s="6" t="s">
        <v>881</v>
      </c>
      <c r="D252" s="28" t="n">
        <f aca="false">N(in_tf_briddhashram)</f>
        <v>0</v>
      </c>
    </row>
    <row r="253" customFormat="false" ht="15" hidden="false" customHeight="false" outlineLevel="0" collapsed="false">
      <c r="B253" s="17" t="s">
        <v>882</v>
      </c>
      <c r="C253" s="6" t="s">
        <v>883</v>
      </c>
      <c r="D253" s="28" t="n">
        <f aca="false">N(in_tf_seagoing_ship)</f>
        <v>0</v>
      </c>
    </row>
    <row r="254" customFormat="false" ht="15" hidden="false" customHeight="false" outlineLevel="0" collapsed="false">
      <c r="B254" s="17" t="s">
        <v>884</v>
      </c>
      <c r="C254" s="6" t="s">
        <v>885</v>
      </c>
      <c r="D254" s="28" t="n">
        <f aca="false">N(in_tf_other)</f>
        <v>0</v>
      </c>
    </row>
    <row r="255" customFormat="false" ht="15" hidden="false" customHeight="false" outlineLevel="0" collapsed="false">
      <c r="B255" s="17" t="s">
        <v>886</v>
      </c>
      <c r="C255" s="6" t="s">
        <v>887</v>
      </c>
      <c r="D255" s="28" t="n">
        <f aca="false">SUM(D233:D254)</f>
        <v>5308</v>
      </c>
    </row>
    <row r="256" customFormat="false" ht="15" hidden="false" customHeight="false" outlineLevel="0" collapsed="false">
      <c r="B256" s="17" t="s">
        <v>888</v>
      </c>
      <c r="C256" s="6" t="s">
        <v>889</v>
      </c>
      <c r="D256" s="28" t="n">
        <f aca="false">v_tf_total</f>
        <v>5308</v>
      </c>
    </row>
    <row r="257" customFormat="false" ht="15" hidden="false" customHeight="false" outlineLevel="0" collapsed="false">
      <c r="B257" s="17" t="s">
        <v>890</v>
      </c>
      <c r="C257" s="6" t="s">
        <v>891</v>
      </c>
      <c r="D257" s="28" t="n">
        <f aca="false">v_r11</f>
        <v>812058</v>
      </c>
    </row>
    <row r="258" customFormat="false" ht="15" hidden="false" customHeight="false" outlineLevel="0" collapsed="false">
      <c r="B258" s="17" t="s">
        <v>892</v>
      </c>
      <c r="C258" s="6" t="s">
        <v>893</v>
      </c>
      <c r="D258" s="28" t="n">
        <f aca="false">N(in_oi_sp)</f>
        <v>0</v>
      </c>
    </row>
    <row r="259" customFormat="false" ht="15" hidden="false" customHeight="false" outlineLevel="0" collapsed="false">
      <c r="B259" s="17" t="s">
        <v>894</v>
      </c>
      <c r="C259" s="6" t="s">
        <v>895</v>
      </c>
      <c r="D259" s="28" t="n">
        <f aca="false">v_tc_A-v_tc_sp</f>
        <v>812058</v>
      </c>
    </row>
    <row r="260" customFormat="false" ht="15" hidden="false" customHeight="false" outlineLevel="0" collapsed="false">
      <c r="B260" s="17" t="s">
        <v>896</v>
      </c>
      <c r="C260" s="6" t="s">
        <v>897</v>
      </c>
      <c r="D260" s="28" t="n">
        <f aca="false">MIN(MAX(v_tc_An,0),v_threshold)</f>
        <v>400000</v>
      </c>
    </row>
    <row r="261" customFormat="false" ht="15" hidden="false" customHeight="false" outlineLevel="0" collapsed="false">
      <c r="B261" s="17" t="s">
        <v>898</v>
      </c>
      <c r="C261" s="6" t="s">
        <v>899</v>
      </c>
      <c r="D261" s="28" t="n">
        <f aca="false">MIN(MAX(v_tc_An-v_threshold,0),p_w1)</f>
        <v>100000</v>
      </c>
    </row>
    <row r="262" customFormat="false" ht="15" hidden="false" customHeight="false" outlineLevel="0" collapsed="false">
      <c r="B262" s="17" t="s">
        <v>900</v>
      </c>
      <c r="C262" s="6" t="s">
        <v>901</v>
      </c>
      <c r="D262" s="28" t="n">
        <f aca="false">MIN(MAX(v_tc_An-v_threshold-p_w1,0),p_w2)</f>
        <v>312058</v>
      </c>
    </row>
    <row r="263" customFormat="false" ht="15" hidden="false" customHeight="false" outlineLevel="0" collapsed="false">
      <c r="B263" s="17" t="s">
        <v>902</v>
      </c>
      <c r="C263" s="6" t="s">
        <v>903</v>
      </c>
      <c r="D263" s="28" t="n">
        <f aca="false">MIN(MAX(v_tc_An-v_threshold-p_w1-p_w2,0),p_w3)</f>
        <v>0</v>
      </c>
    </row>
    <row r="264" customFormat="false" ht="15" hidden="false" customHeight="false" outlineLevel="0" collapsed="false">
      <c r="B264" s="17" t="s">
        <v>904</v>
      </c>
      <c r="C264" s="6" t="s">
        <v>905</v>
      </c>
      <c r="D264" s="28" t="n">
        <f aca="false">MIN(MAX(v_tc_An-v_threshold-p_w1-p_w2-p_w3,0),p_w4)</f>
        <v>0</v>
      </c>
    </row>
    <row r="265" customFormat="false" ht="15" hidden="false" customHeight="false" outlineLevel="0" collapsed="false">
      <c r="B265" s="17" t="s">
        <v>906</v>
      </c>
      <c r="C265" s="6" t="s">
        <v>907</v>
      </c>
      <c r="D265" s="28" t="n">
        <f aca="false">MAX(v_tc_An-v_threshold-p_w1-p_w2-p_w3-p_w4,0)</f>
        <v>0</v>
      </c>
    </row>
    <row r="266" customFormat="false" ht="15" hidden="false" customHeight="false" outlineLevel="0" collapsed="false">
      <c r="B266" s="17" t="s">
        <v>908</v>
      </c>
      <c r="C266" s="6" t="s">
        <v>909</v>
      </c>
      <c r="D266" s="28" t="str">
        <f aca="false">"0%"</f>
        <v>0%</v>
      </c>
    </row>
    <row r="267" customFormat="false" ht="15" hidden="false" customHeight="false" outlineLevel="0" collapsed="false">
      <c r="B267" s="17" t="s">
        <v>910</v>
      </c>
      <c r="C267" s="6" t="s">
        <v>312</v>
      </c>
      <c r="D267" s="28" t="str">
        <f aca="false">TEXT(p_r1*100,"0")&amp;"%"</f>
        <v>5%</v>
      </c>
    </row>
    <row r="268" customFormat="false" ht="15" hidden="false" customHeight="false" outlineLevel="0" collapsed="false">
      <c r="B268" s="17" t="s">
        <v>911</v>
      </c>
      <c r="C268" s="6" t="s">
        <v>316</v>
      </c>
      <c r="D268" s="28" t="str">
        <f aca="false">TEXT(p_r2*100,"0")&amp;"%"</f>
        <v>10%</v>
      </c>
    </row>
    <row r="269" customFormat="false" ht="15" hidden="false" customHeight="false" outlineLevel="0" collapsed="false">
      <c r="B269" s="17" t="s">
        <v>912</v>
      </c>
      <c r="C269" s="6" t="s">
        <v>320</v>
      </c>
      <c r="D269" s="28" t="str">
        <f aca="false">TEXT(p_r3*100,"0")&amp;"%"</f>
        <v>15%</v>
      </c>
    </row>
    <row r="270" customFormat="false" ht="15" hidden="false" customHeight="false" outlineLevel="0" collapsed="false">
      <c r="B270" s="17" t="s">
        <v>913</v>
      </c>
      <c r="C270" s="6" t="s">
        <v>324</v>
      </c>
      <c r="D270" s="28" t="str">
        <f aca="false">TEXT(p_r4*100,"0")&amp;"%"</f>
        <v>20%</v>
      </c>
    </row>
    <row r="271" customFormat="false" ht="15" hidden="false" customHeight="false" outlineLevel="0" collapsed="false">
      <c r="B271" s="17" t="s">
        <v>914</v>
      </c>
      <c r="C271" s="6" t="s">
        <v>915</v>
      </c>
      <c r="D271" s="28" t="str">
        <f aca="false">TEXT(p_r5*100,"0")&amp;"%"</f>
        <v>25%</v>
      </c>
    </row>
    <row r="272" customFormat="false" ht="15" hidden="false" customHeight="false" outlineLevel="0" collapsed="false">
      <c r="B272" s="17" t="s">
        <v>916</v>
      </c>
      <c r="C272" s="6" t="s">
        <v>917</v>
      </c>
      <c r="D272" s="28" t="n">
        <f aca="false">0</f>
        <v>0</v>
      </c>
    </row>
    <row r="273" customFormat="false" ht="15" hidden="false" customHeight="false" outlineLevel="0" collapsed="false">
      <c r="B273" s="17" t="s">
        <v>918</v>
      </c>
      <c r="C273" s="6" t="s">
        <v>919</v>
      </c>
      <c r="D273" s="28" t="n">
        <f aca="false">v_tc_s1_inc*p_r1</f>
        <v>5000</v>
      </c>
    </row>
    <row r="274" customFormat="false" ht="15" hidden="false" customHeight="false" outlineLevel="0" collapsed="false">
      <c r="B274" s="17" t="s">
        <v>920</v>
      </c>
      <c r="C274" s="6" t="s">
        <v>921</v>
      </c>
      <c r="D274" s="28" t="n">
        <f aca="false">v_tc_s2_inc*p_r2</f>
        <v>31205.8</v>
      </c>
    </row>
    <row r="275" customFormat="false" ht="15" hidden="false" customHeight="false" outlineLevel="0" collapsed="false">
      <c r="B275" s="17" t="s">
        <v>922</v>
      </c>
      <c r="C275" s="6" t="s">
        <v>923</v>
      </c>
      <c r="D275" s="28" t="n">
        <f aca="false">v_tc_s3_inc*p_r3</f>
        <v>0</v>
      </c>
    </row>
    <row r="276" customFormat="false" ht="15" hidden="false" customHeight="false" outlineLevel="0" collapsed="false">
      <c r="B276" s="17" t="s">
        <v>924</v>
      </c>
      <c r="C276" s="6" t="s">
        <v>925</v>
      </c>
      <c r="D276" s="28" t="n">
        <f aca="false">v_tc_s4_inc*p_r4</f>
        <v>0</v>
      </c>
    </row>
    <row r="277" customFormat="false" ht="15" hidden="false" customHeight="false" outlineLevel="0" collapsed="false">
      <c r="B277" s="17" t="s">
        <v>926</v>
      </c>
      <c r="C277" s="6" t="s">
        <v>927</v>
      </c>
      <c r="D277" s="28" t="n">
        <f aca="false">v_tc_s5_inc*p_r5</f>
        <v>0</v>
      </c>
    </row>
    <row r="278" customFormat="false" ht="15" hidden="false" customHeight="false" outlineLevel="0" collapsed="false">
      <c r="B278" s="17" t="s">
        <v>928</v>
      </c>
      <c r="C278" s="6" t="s">
        <v>929</v>
      </c>
      <c r="D278" s="28" t="n">
        <f aca="false">MAX(v_tc_An,0)</f>
        <v>812058</v>
      </c>
    </row>
    <row r="279" customFormat="false" ht="15" hidden="false" customHeight="false" outlineLevel="0" collapsed="false">
      <c r="B279" s="17" t="s">
        <v>930</v>
      </c>
      <c r="C279" s="6" t="s">
        <v>931</v>
      </c>
      <c r="D279" s="28" t="n">
        <f aca="false">ROUND(SUM(D272:D277),0)</f>
        <v>36206</v>
      </c>
    </row>
    <row r="280" customFormat="false" ht="15" hidden="false" customHeight="false" outlineLevel="0" collapsed="false">
      <c r="B280" s="17" t="s">
        <v>932</v>
      </c>
      <c r="C280" s="6" t="s">
        <v>933</v>
      </c>
      <c r="D280" s="28" t="n">
        <f aca="false">N(in_inv_life_insurance)</f>
        <v>0</v>
      </c>
    </row>
    <row r="281" customFormat="false" ht="15" hidden="false" customHeight="false" outlineLevel="0" collapsed="false">
      <c r="B281" s="17" t="s">
        <v>934</v>
      </c>
      <c r="C281" s="6" t="s">
        <v>935</v>
      </c>
      <c r="D281" s="28" t="n">
        <f aca="false">N(in_inv_dps)</f>
        <v>0</v>
      </c>
    </row>
    <row r="282" customFormat="false" ht="15" hidden="false" customHeight="false" outlineLevel="0" collapsed="false">
      <c r="B282" s="17" t="s">
        <v>936</v>
      </c>
      <c r="C282" s="6" t="s">
        <v>937</v>
      </c>
      <c r="D282" s="28" t="n">
        <f aca="false">N(in_inv_govt_securities)</f>
        <v>0</v>
      </c>
    </row>
    <row r="283" customFormat="false" ht="15" hidden="false" customHeight="false" outlineLevel="0" collapsed="false">
      <c r="B283" s="17" t="s">
        <v>938</v>
      </c>
      <c r="C283" s="6" t="s">
        <v>939</v>
      </c>
      <c r="D283" s="28" t="n">
        <f aca="false">N(in_inv_listed_securities)</f>
        <v>0</v>
      </c>
    </row>
    <row r="284" customFormat="false" ht="15" hidden="false" customHeight="false" outlineLevel="0" collapsed="false">
      <c r="B284" s="17" t="s">
        <v>940</v>
      </c>
      <c r="C284" s="6" t="s">
        <v>941</v>
      </c>
      <c r="D284" s="28" t="n">
        <f aca="false">N(in_inv_pf_1925)</f>
        <v>0</v>
      </c>
    </row>
    <row r="285" customFormat="false" ht="15" hidden="false" customHeight="false" outlineLevel="0" collapsed="false">
      <c r="B285" s="17" t="s">
        <v>942</v>
      </c>
      <c r="C285" s="6" t="s">
        <v>943</v>
      </c>
      <c r="D285" s="28" t="n">
        <f aca="false">N(in_inv_rpf)</f>
        <v>0</v>
      </c>
    </row>
    <row r="286" customFormat="false" ht="15" hidden="false" customHeight="false" outlineLevel="0" collapsed="false">
      <c r="B286" s="17" t="s">
        <v>944</v>
      </c>
      <c r="C286" s="6" t="s">
        <v>945</v>
      </c>
      <c r="D286" s="28" t="n">
        <f aca="false">N(in_inv_pension_fund)</f>
        <v>0</v>
      </c>
    </row>
    <row r="287" customFormat="false" ht="15" hidden="false" customHeight="false" outlineLevel="0" collapsed="false">
      <c r="B287" s="17" t="s">
        <v>946</v>
      </c>
      <c r="C287" s="6" t="s">
        <v>947</v>
      </c>
      <c r="D287" s="28" t="n">
        <f aca="false">N(in_inv_benevolent_group_insurance)</f>
        <v>0</v>
      </c>
    </row>
    <row r="288" customFormat="false" ht="15" hidden="false" customHeight="false" outlineLevel="0" collapsed="false">
      <c r="B288" s="17" t="s">
        <v>948</v>
      </c>
      <c r="C288" s="6" t="s">
        <v>949</v>
      </c>
      <c r="D288" s="28" t="n">
        <f aca="false">N(in_inv_zakat)</f>
        <v>0</v>
      </c>
    </row>
    <row r="289" customFormat="false" ht="15" hidden="false" customHeight="false" outlineLevel="0" collapsed="false">
      <c r="B289" s="17" t="s">
        <v>950</v>
      </c>
      <c r="C289" s="6" t="s">
        <v>951</v>
      </c>
      <c r="D289" s="28" t="n">
        <f aca="false">N(in_inv_others)</f>
        <v>0</v>
      </c>
    </row>
    <row r="290" customFormat="false" ht="15" hidden="false" customHeight="false" outlineLevel="0" collapsed="false">
      <c r="B290" s="17" t="s">
        <v>952</v>
      </c>
      <c r="C290" s="6" t="s">
        <v>953</v>
      </c>
      <c r="D290" s="28" t="n">
        <f aca="false">SUM(D280:D289)</f>
        <v>0</v>
      </c>
    </row>
    <row r="291" customFormat="false" ht="15" hidden="false" customHeight="false" outlineLevel="0" collapsed="false">
      <c r="B291" s="17" t="s">
        <v>954</v>
      </c>
      <c r="C291" s="6" t="s">
        <v>955</v>
      </c>
      <c r="D291" s="28" t="n">
        <f aca="false">MAX(v_tc_An,0)*p_rebate_income_rate</f>
        <v>24361.74</v>
      </c>
    </row>
    <row r="292" customFormat="false" ht="15" hidden="false" customHeight="false" outlineLevel="0" collapsed="false">
      <c r="B292" s="17" t="s">
        <v>956</v>
      </c>
      <c r="C292" s="6" t="s">
        <v>957</v>
      </c>
      <c r="D292" s="28" t="n">
        <f aca="false">v_s5_r11*p_rebate_invest_rate</f>
        <v>0</v>
      </c>
    </row>
    <row r="293" customFormat="false" ht="15" hidden="false" customHeight="false" outlineLevel="0" collapsed="false">
      <c r="B293" s="17" t="s">
        <v>958</v>
      </c>
      <c r="C293" s="6" t="s">
        <v>959</v>
      </c>
      <c r="D293" s="28" t="n">
        <f aca="false">p_rebate_cap</f>
        <v>1000000</v>
      </c>
    </row>
    <row r="294" customFormat="false" ht="15" hidden="false" customHeight="false" outlineLevel="0" collapsed="false">
      <c r="B294" s="17" t="s">
        <v>960</v>
      </c>
      <c r="C294" s="6" t="s">
        <v>961</v>
      </c>
      <c r="D294" s="28" t="n">
        <f aca="false">IF(in_tx_rebate="No",0,ROUND(MIN(v_tc_ci,v_tc_cii,v_tc_ciii),0))</f>
        <v>0</v>
      </c>
    </row>
    <row r="295" customFormat="false" ht="15" hidden="false" customHeight="false" outlineLevel="0" collapsed="false">
      <c r="B295" s="17" t="s">
        <v>962</v>
      </c>
      <c r="C295" s="6" t="s">
        <v>963</v>
      </c>
      <c r="D295" s="28" t="n">
        <f aca="false">v_tc_C</f>
        <v>0</v>
      </c>
    </row>
    <row r="296" customFormat="false" ht="15" hidden="false" customHeight="false" outlineLevel="0" collapsed="false">
      <c r="B296" s="17" t="s">
        <v>964</v>
      </c>
      <c r="C296" s="6" t="s">
        <v>965</v>
      </c>
      <c r="D296" s="28" t="n">
        <f aca="false">MIN(v_tc_C,v_tc_B)</f>
        <v>0</v>
      </c>
    </row>
    <row r="297" customFormat="false" ht="15" hidden="false" customHeight="false" outlineLevel="0" collapsed="false">
      <c r="B297" s="17" t="s">
        <v>966</v>
      </c>
      <c r="C297" s="6" t="s">
        <v>967</v>
      </c>
      <c r="D297" s="28" t="n">
        <f aca="false">v_tc_B-v_c_used</f>
        <v>36206</v>
      </c>
    </row>
    <row r="298" customFormat="false" ht="15" hidden="false" customHeight="false" outlineLevel="0" collapsed="false">
      <c r="B298" s="17" t="s">
        <v>968</v>
      </c>
      <c r="C298" s="6" t="s">
        <v>969</v>
      </c>
      <c r="D298" s="28" t="n">
        <f aca="false">IF(in_tx_min_override&amp;""&lt;&gt;"",N(in_tx_min_override),IF(v_tc_An&lt;=v_threshold,0,IF(v_first_return,p_min_tax_first,p_min_tax)))</f>
        <v>5000</v>
      </c>
    </row>
    <row r="299" customFormat="false" ht="15" hidden="false" customHeight="false" outlineLevel="0" collapsed="false">
      <c r="B299" s="17" t="s">
        <v>970</v>
      </c>
      <c r="C299" s="6" t="s">
        <v>971</v>
      </c>
      <c r="D299" s="28" t="n">
        <f aca="false">N(in_tx_2kha)</f>
        <v>0</v>
      </c>
    </row>
    <row r="300" customFormat="false" ht="15" hidden="false" customHeight="false" outlineLevel="0" collapsed="false">
      <c r="B300" s="17" t="s">
        <v>972</v>
      </c>
      <c r="C300" s="6" t="s">
        <v>973</v>
      </c>
      <c r="D300" s="28" t="n">
        <f aca="false">N(in_tx_5ka)</f>
        <v>0</v>
      </c>
    </row>
    <row r="301" customFormat="false" ht="15" hidden="false" customHeight="false" outlineLevel="0" collapsed="false">
      <c r="B301" s="17" t="s">
        <v>974</v>
      </c>
      <c r="C301" s="6" t="s">
        <v>975</v>
      </c>
      <c r="D301" s="28" t="n">
        <f aca="false">MAX(v_tc_ei,v_tc_eii,v_tc_eiii)</f>
        <v>5000</v>
      </c>
    </row>
    <row r="302" customFormat="false" ht="15" hidden="false" customHeight="false" outlineLevel="0" collapsed="false">
      <c r="B302" s="17" t="s">
        <v>976</v>
      </c>
      <c r="C302" s="6" t="s">
        <v>977</v>
      </c>
      <c r="D302" s="28" t="n">
        <f aca="false">MAX(v_tc_D,v_tc_E)</f>
        <v>36206</v>
      </c>
    </row>
    <row r="303" customFormat="false" ht="15" hidden="false" customHeight="false" outlineLevel="0" collapsed="false">
      <c r="B303" s="17" t="s">
        <v>978</v>
      </c>
      <c r="C303" s="6" t="s">
        <v>979</v>
      </c>
      <c r="D303" s="28" t="n">
        <f aca="false">N(in_pay_tds)</f>
        <v>0</v>
      </c>
    </row>
    <row r="304" customFormat="false" ht="15" hidden="false" customHeight="false" outlineLevel="0" collapsed="false">
      <c r="B304" s="17" t="s">
        <v>980</v>
      </c>
      <c r="C304" s="6" t="s">
        <v>981</v>
      </c>
      <c r="D304" s="28" t="n">
        <f aca="false">N(in_pay_sp)</f>
        <v>0</v>
      </c>
    </row>
    <row r="305" customFormat="false" ht="15" hidden="false" customHeight="false" outlineLevel="0" collapsed="false">
      <c r="B305" s="17" t="s">
        <v>982</v>
      </c>
      <c r="C305" s="6" t="s">
        <v>983</v>
      </c>
      <c r="D305" s="28" t="n">
        <f aca="false">N(in_pay_wppf)</f>
        <v>0</v>
      </c>
    </row>
    <row r="306" customFormat="false" ht="15" hidden="false" customHeight="false" outlineLevel="0" collapsed="false">
      <c r="B306" s="17" t="s">
        <v>984</v>
      </c>
      <c r="C306" s="6" t="s">
        <v>985</v>
      </c>
      <c r="D306" s="28" t="n">
        <f aca="false">N(in_pay_car)</f>
        <v>0</v>
      </c>
    </row>
    <row r="307" customFormat="false" ht="15" hidden="false" customHeight="false" outlineLevel="0" collapsed="false">
      <c r="B307" s="17" t="s">
        <v>986</v>
      </c>
      <c r="C307" s="6" t="s">
        <v>987</v>
      </c>
      <c r="D307" s="28" t="n">
        <f aca="false">N(in_pay_bank)</f>
        <v>0</v>
      </c>
    </row>
    <row r="308" customFormat="false" ht="15" hidden="false" customHeight="false" outlineLevel="0" collapsed="false">
      <c r="B308" s="17" t="s">
        <v>988</v>
      </c>
      <c r="C308" s="6" t="s">
        <v>989</v>
      </c>
      <c r="D308" s="28" t="n">
        <f aca="false">N(in_pay_refund)</f>
        <v>0</v>
      </c>
    </row>
    <row r="309" customFormat="false" ht="15" hidden="false" customHeight="false" outlineLevel="0" collapsed="false">
      <c r="B309" s="17" t="s">
        <v>990</v>
      </c>
      <c r="C309" s="6" t="s">
        <v>991</v>
      </c>
      <c r="D309" s="28" t="n">
        <f aca="false">N(in_pay_adv)</f>
        <v>0</v>
      </c>
    </row>
    <row r="310" customFormat="false" ht="15" hidden="false" customHeight="false" outlineLevel="0" collapsed="false">
      <c r="B310" s="17" t="s">
        <v>992</v>
      </c>
      <c r="C310" s="6" t="s">
        <v>993</v>
      </c>
      <c r="D310" s="28" t="n">
        <f aca="false">v_tc_j1+v_tc_j2+v_tc_j3+v_tc_j4+v_tc_j5</f>
        <v>0</v>
      </c>
    </row>
    <row r="311" customFormat="false" ht="15" hidden="false" customHeight="false" outlineLevel="0" collapsed="false">
      <c r="B311" s="17" t="s">
        <v>994</v>
      </c>
      <c r="C311" s="6" t="s">
        <v>995</v>
      </c>
      <c r="D311" s="28" t="n">
        <f aca="false">v_tc_j6+v_tc_j7</f>
        <v>0</v>
      </c>
    </row>
    <row r="312" customFormat="false" ht="15" hidden="false" customHeight="false" outlineLevel="0" collapsed="false">
      <c r="B312" s="17" t="s">
        <v>996</v>
      </c>
      <c r="C312" s="6" t="s">
        <v>997</v>
      </c>
      <c r="D312" s="28" t="n">
        <f aca="false">IF(in_tx_final_tax&amp;""&lt;&gt;"",N(in_tx_final_tax),IF(N(in_oi_sp)&gt;0,v_tc_j2,0))</f>
        <v>0</v>
      </c>
    </row>
    <row r="313" customFormat="false" ht="15" hidden="false" customHeight="false" outlineLevel="0" collapsed="false">
      <c r="B313" s="17" t="s">
        <v>998</v>
      </c>
      <c r="C313" s="6" t="s">
        <v>999</v>
      </c>
      <c r="D313" s="28" t="n">
        <f aca="false">N(in_tx_env)</f>
        <v>0</v>
      </c>
    </row>
    <row r="314" customFormat="false" ht="15" hidden="false" customHeight="false" outlineLevel="0" collapsed="false">
      <c r="B314" s="17" t="s">
        <v>1000</v>
      </c>
      <c r="C314" s="6" t="s">
        <v>1001</v>
      </c>
      <c r="D314" s="28" t="n">
        <f aca="false">N(in_tx_delay)</f>
        <v>0</v>
      </c>
    </row>
    <row r="315" customFormat="false" ht="15" hidden="false" customHeight="false" outlineLevel="0" collapsed="false">
      <c r="B315" s="17" t="s">
        <v>1002</v>
      </c>
      <c r="C315" s="6" t="s">
        <v>1003</v>
      </c>
      <c r="D315" s="28" t="n">
        <f aca="false">in_pay_with_return&amp;""&lt;&gt;""</f>
        <v>0</v>
      </c>
    </row>
    <row r="316" customFormat="false" ht="15" hidden="false" customHeight="false" outlineLevel="0" collapsed="false">
      <c r="B316" s="17" t="s">
        <v>1004</v>
      </c>
      <c r="C316" s="6" t="s">
        <v>1005</v>
      </c>
      <c r="D316" s="28" t="n">
        <f aca="false">IF(v_biz_present,v_s4_r10,N(in_w_bcap_agg))</f>
        <v>0</v>
      </c>
    </row>
    <row r="317" customFormat="false" ht="15" hidden="false" customHeight="false" outlineLevel="0" collapsed="false">
      <c r="B317" s="17" t="s">
        <v>1006</v>
      </c>
      <c r="C317" s="6" t="s">
        <v>1007</v>
      </c>
      <c r="D317" s="28" t="n">
        <f aca="false">IF(v_biz_present,v_s4_r15,N(in_w_bcap_liab))</f>
        <v>0</v>
      </c>
    </row>
    <row r="318" customFormat="false" ht="15" hidden="false" customHeight="false" outlineLevel="0" collapsed="false">
      <c r="B318" s="17" t="s">
        <v>1008</v>
      </c>
      <c r="C318" s="6" t="s">
        <v>1009</v>
      </c>
      <c r="D318" s="28" t="n">
        <f aca="false">v_a_agg-v_a_bliab</f>
        <v>0</v>
      </c>
    </row>
    <row r="319" customFormat="false" ht="15" hidden="false" customHeight="false" outlineLevel="0" collapsed="false">
      <c r="B319" s="17" t="s">
        <v>1010</v>
      </c>
      <c r="C319" s="6" t="s">
        <v>1011</v>
      </c>
      <c r="D319" s="28" t="n">
        <f aca="false">N(in_w_dir)</f>
        <v>0</v>
      </c>
    </row>
    <row r="320" customFormat="false" ht="15" hidden="false" customHeight="false" outlineLevel="0" collapsed="false">
      <c r="B320" s="17" t="s">
        <v>1012</v>
      </c>
      <c r="C320" s="6" t="s">
        <v>1013</v>
      </c>
      <c r="D320" s="28" t="n">
        <f aca="false">v_a_bcap</f>
        <v>0</v>
      </c>
    </row>
    <row r="321" customFormat="false" ht="15" hidden="false" customHeight="false" outlineLevel="0" collapsed="false">
      <c r="B321" s="17" t="s">
        <v>1014</v>
      </c>
      <c r="C321" s="6" t="s">
        <v>1015</v>
      </c>
      <c r="D321" s="28" t="str">
        <f aca="false">in_na1_desc&amp;""</f>
        <v>10 decimal land, Village A, Upazila B, District C</v>
      </c>
    </row>
    <row r="322" customFormat="false" ht="15" hidden="false" customHeight="false" outlineLevel="0" collapsed="false">
      <c r="B322" s="17" t="s">
        <v>1016</v>
      </c>
      <c r="C322" s="6" t="s">
        <v>1017</v>
      </c>
      <c r="D322" s="28" t="n">
        <f aca="false">IF(AND(in_na1_desc&amp;""="",in_na1_val&amp;""=""),"",N(in_na1_val))</f>
        <v>6700000</v>
      </c>
    </row>
    <row r="323" customFormat="false" ht="15" hidden="false" customHeight="false" outlineLevel="0" collapsed="false">
      <c r="B323" s="17" t="s">
        <v>1018</v>
      </c>
      <c r="C323" s="6" t="s">
        <v>1019</v>
      </c>
      <c r="D323" s="28" t="str">
        <f aca="false">in_na2_desc&amp;""</f>
        <v>10 decimal land, Village A, Upazila B, District C</v>
      </c>
    </row>
    <row r="324" customFormat="false" ht="15" hidden="false" customHeight="false" outlineLevel="0" collapsed="false">
      <c r="B324" s="17" t="s">
        <v>1020</v>
      </c>
      <c r="C324" s="6" t="s">
        <v>1021</v>
      </c>
      <c r="D324" s="28" t="n">
        <f aca="false">IF(AND(in_na2_desc&amp;""="",in_na2_val&amp;""=""),"",N(in_na2_val))</f>
        <v>6700000</v>
      </c>
    </row>
    <row r="325" customFormat="false" ht="15" hidden="false" customHeight="false" outlineLevel="0" collapsed="false">
      <c r="B325" s="17" t="s">
        <v>1022</v>
      </c>
      <c r="C325" s="6" t="s">
        <v>1023</v>
      </c>
      <c r="D325" s="28" t="str">
        <f aca="false">in_na3_desc&amp;""</f>
        <v/>
      </c>
    </row>
    <row r="326" customFormat="false" ht="15" hidden="false" customHeight="false" outlineLevel="0" collapsed="false">
      <c r="B326" s="17" t="s">
        <v>1024</v>
      </c>
      <c r="C326" s="6" t="s">
        <v>1025</v>
      </c>
      <c r="D326" s="28" t="str">
        <f aca="false">IF(AND(in_na3_desc&amp;""="",in_na3_val&amp;""=""),"",N(in_na3_val))</f>
        <v/>
      </c>
    </row>
    <row r="327" customFormat="false" ht="15" hidden="false" customHeight="false" outlineLevel="0" collapsed="false">
      <c r="B327" s="17" t="s">
        <v>1026</v>
      </c>
      <c r="C327" s="6" t="s">
        <v>1027</v>
      </c>
      <c r="D327" s="28" t="str">
        <f aca="false">in_na4_desc&amp;""</f>
        <v/>
      </c>
    </row>
    <row r="328" customFormat="false" ht="15" hidden="false" customHeight="false" outlineLevel="0" collapsed="false">
      <c r="B328" s="17" t="s">
        <v>1028</v>
      </c>
      <c r="C328" s="6" t="s">
        <v>1029</v>
      </c>
      <c r="D328" s="28" t="str">
        <f aca="false">IF(AND(in_na4_desc&amp;""="",in_na4_val&amp;""=""),"",N(in_na4_val))</f>
        <v/>
      </c>
    </row>
    <row r="329" customFormat="false" ht="15" hidden="false" customHeight="false" outlineLevel="0" collapsed="false">
      <c r="B329" s="17" t="s">
        <v>1030</v>
      </c>
      <c r="C329" s="6" t="s">
        <v>1031</v>
      </c>
      <c r="D329" s="28" t="n">
        <f aca="false">N(in_na1_val)+N(in_na2_val)+N(in_na3_val)+N(in_na4_val)</f>
        <v>13400000</v>
      </c>
    </row>
    <row r="330" customFormat="false" ht="15" hidden="false" customHeight="false" outlineLevel="0" collapsed="false">
      <c r="B330" s="17" t="s">
        <v>1032</v>
      </c>
      <c r="C330" s="6" t="s">
        <v>1033</v>
      </c>
      <c r="D330" s="28" t="n">
        <f aca="false">N(in_agp1_val)+N(in_agp2_val)</f>
        <v>0</v>
      </c>
    </row>
    <row r="331" customFormat="false" ht="15" hidden="false" customHeight="false" outlineLevel="0" collapsed="false">
      <c r="B331" s="17" t="s">
        <v>1034</v>
      </c>
      <c r="C331" s="6" t="s">
        <v>1035</v>
      </c>
      <c r="D331" s="28" t="str">
        <f aca="false">in_agp1_desc&amp;IF(AND(in_agp1_desc&amp;""&lt;&gt;"",in_agp2_desc&amp;""&lt;&gt;""),"; ","")&amp;in_agp2_desc</f>
        <v/>
      </c>
    </row>
    <row r="332" customFormat="false" ht="15" hidden="false" customHeight="false" outlineLevel="0" collapsed="false">
      <c r="B332" s="17" t="s">
        <v>1036</v>
      </c>
      <c r="C332" s="6" t="s">
        <v>1037</v>
      </c>
      <c r="D332" s="28" t="n">
        <f aca="false">N(in_w_deb)</f>
        <v>0</v>
      </c>
    </row>
    <row r="333" customFormat="false" ht="15" hidden="false" customHeight="false" outlineLevel="0" collapsed="false">
      <c r="B333" s="17" t="s">
        <v>1038</v>
      </c>
      <c r="C333" s="6" t="s">
        <v>1039</v>
      </c>
      <c r="D333" s="28" t="n">
        <f aca="false">N(in_w_sp)</f>
        <v>0</v>
      </c>
    </row>
    <row r="334" customFormat="false" ht="15" hidden="false" customHeight="false" outlineLevel="0" collapsed="false">
      <c r="B334" s="17" t="s">
        <v>1040</v>
      </c>
      <c r="C334" s="6" t="s">
        <v>1041</v>
      </c>
      <c r="D334" s="28" t="n">
        <f aca="false">N(in_w_li)</f>
        <v>0</v>
      </c>
    </row>
    <row r="335" customFormat="false" ht="15" hidden="false" customHeight="false" outlineLevel="0" collapsed="false">
      <c r="B335" s="17" t="s">
        <v>1042</v>
      </c>
      <c r="C335" s="6" t="s">
        <v>1043</v>
      </c>
      <c r="D335" s="28" t="n">
        <f aca="false">N(in_w_loan)</f>
        <v>0</v>
      </c>
    </row>
    <row r="336" customFormat="false" ht="15" hidden="false" customHeight="false" outlineLevel="0" collapsed="false">
      <c r="B336" s="17" t="s">
        <v>1044</v>
      </c>
      <c r="C336" s="6" t="s">
        <v>1045</v>
      </c>
      <c r="D336" s="28" t="n">
        <f aca="false">N(in_w_fdr)</f>
        <v>0</v>
      </c>
    </row>
    <row r="337" customFormat="false" ht="15" hidden="false" customHeight="false" outlineLevel="0" collapsed="false">
      <c r="B337" s="17" t="s">
        <v>1046</v>
      </c>
      <c r="C337" s="6" t="s">
        <v>1047</v>
      </c>
      <c r="D337" s="28" t="n">
        <f aca="false">N(in_w_pf)</f>
        <v>950048</v>
      </c>
    </row>
    <row r="338" customFormat="false" ht="15" hidden="false" customHeight="false" outlineLevel="0" collapsed="false">
      <c r="B338" s="17" t="s">
        <v>1048</v>
      </c>
      <c r="C338" s="6" t="s">
        <v>1049</v>
      </c>
      <c r="D338" s="28" t="n">
        <f aca="false">N(in_w_oinv)</f>
        <v>0</v>
      </c>
    </row>
    <row r="339" customFormat="false" ht="15" hidden="false" customHeight="false" outlineLevel="0" collapsed="false">
      <c r="B339" s="17" t="s">
        <v>1050</v>
      </c>
      <c r="C339" s="6" t="s">
        <v>1051</v>
      </c>
      <c r="D339" s="28" t="n">
        <f aca="false">SUM(D332:D338)</f>
        <v>950048</v>
      </c>
    </row>
    <row r="340" customFormat="false" ht="15" hidden="false" customHeight="false" outlineLevel="0" collapsed="false">
      <c r="B340" s="17" t="s">
        <v>1052</v>
      </c>
      <c r="C340" s="6" t="s">
        <v>1053</v>
      </c>
      <c r="D340" s="28" t="n">
        <f aca="false">N(in_w_car)</f>
        <v>0</v>
      </c>
    </row>
    <row r="341" customFormat="false" ht="15" hidden="false" customHeight="false" outlineLevel="0" collapsed="false">
      <c r="B341" s="17" t="s">
        <v>1054</v>
      </c>
      <c r="C341" s="6" t="s">
        <v>1055</v>
      </c>
      <c r="D341" s="28" t="str">
        <f aca="false">in_w_car_det&amp;""</f>
        <v/>
      </c>
    </row>
    <row r="342" customFormat="false" ht="15" hidden="false" customHeight="false" outlineLevel="0" collapsed="false">
      <c r="B342" s="17" t="s">
        <v>1056</v>
      </c>
      <c r="C342" s="6" t="s">
        <v>1057</v>
      </c>
      <c r="D342" s="28" t="n">
        <f aca="false">N(in_w_orn)</f>
        <v>0</v>
      </c>
    </row>
    <row r="343" customFormat="false" ht="15" hidden="false" customHeight="false" outlineLevel="0" collapsed="false">
      <c r="B343" s="17" t="s">
        <v>1058</v>
      </c>
      <c r="C343" s="6" t="s">
        <v>262</v>
      </c>
      <c r="D343" s="28" t="str">
        <f aca="false">in_w_orn_qty&amp;""</f>
        <v>25 Bhori</v>
      </c>
    </row>
    <row r="344" customFormat="false" ht="15" hidden="false" customHeight="false" outlineLevel="0" collapsed="false">
      <c r="B344" s="17" t="s">
        <v>1059</v>
      </c>
      <c r="C344" s="6" t="s">
        <v>265</v>
      </c>
      <c r="D344" s="28" t="str">
        <f aca="false">in_w_orn_type&amp;""</f>
        <v>(Gold)</v>
      </c>
    </row>
    <row r="345" customFormat="false" ht="15" hidden="false" customHeight="false" outlineLevel="0" collapsed="false">
      <c r="B345" s="17" t="s">
        <v>1060</v>
      </c>
      <c r="C345" s="6" t="s">
        <v>1061</v>
      </c>
      <c r="D345" s="28" t="str">
        <f aca="false">IF(OR(v_a_h_qty&lt;&gt;"",v_a_h&lt;&gt;0),v_a_h_type,"")</f>
        <v>(Gold)</v>
      </c>
    </row>
    <row r="346" customFormat="false" ht="15" hidden="false" customHeight="false" outlineLevel="0" collapsed="false">
      <c r="B346" s="17" t="s">
        <v>1062</v>
      </c>
      <c r="C346" s="6" t="s">
        <v>267</v>
      </c>
      <c r="D346" s="28" t="str">
        <f aca="false">in_w_orn_note&amp;""</f>
        <v>(Wedding Gifts)</v>
      </c>
    </row>
    <row r="347" customFormat="false" ht="15" hidden="false" customHeight="false" outlineLevel="0" collapsed="false">
      <c r="B347" s="17" t="s">
        <v>1063</v>
      </c>
      <c r="C347" s="6" t="s">
        <v>270</v>
      </c>
      <c r="D347" s="28" t="n">
        <f aca="false">N(in_w_furn)</f>
        <v>300000</v>
      </c>
    </row>
    <row r="348" customFormat="false" ht="15" hidden="false" customHeight="false" outlineLevel="0" collapsed="false">
      <c r="B348" s="17" t="s">
        <v>1064</v>
      </c>
      <c r="C348" s="6" t="s">
        <v>271</v>
      </c>
      <c r="D348" s="28" t="str">
        <f aca="false">in_w_furn_note&amp;""</f>
        <v>(Wedding Gifts)</v>
      </c>
    </row>
    <row r="349" customFormat="false" ht="15" hidden="false" customHeight="false" outlineLevel="0" collapsed="false">
      <c r="B349" s="17" t="s">
        <v>1065</v>
      </c>
      <c r="C349" s="6" t="s">
        <v>138</v>
      </c>
      <c r="D349" s="28" t="n">
        <f aca="false">N(in_w_oth)</f>
        <v>0</v>
      </c>
    </row>
    <row r="350" customFormat="false" ht="15" hidden="false" customHeight="false" outlineLevel="0" collapsed="false">
      <c r="B350" s="17" t="s">
        <v>1066</v>
      </c>
      <c r="C350" s="6" t="s">
        <v>1067</v>
      </c>
      <c r="D350" s="28" t="n">
        <f aca="false">v_a_bcap+v_a_dir+v_a_d_total+v_a_e_total+v_a_f_total+v_a_g+v_a_h+v_a_i+v_a_j</f>
        <v>14650048</v>
      </c>
    </row>
    <row r="351" customFormat="false" ht="15" hidden="false" customHeight="false" outlineLevel="0" collapsed="false">
      <c r="B351" s="17" t="s">
        <v>1068</v>
      </c>
      <c r="C351" s="6" t="s">
        <v>1069</v>
      </c>
      <c r="D351" s="28" t="n">
        <f aca="false">N(in_w_liab_inst)</f>
        <v>0</v>
      </c>
    </row>
    <row r="352" customFormat="false" ht="15" hidden="false" customHeight="false" outlineLevel="0" collapsed="false">
      <c r="B352" s="17" t="s">
        <v>1070</v>
      </c>
      <c r="C352" s="6" t="s">
        <v>1071</v>
      </c>
      <c r="D352" s="28" t="n">
        <f aca="false">N(in_w_liab_non)</f>
        <v>0</v>
      </c>
    </row>
    <row r="353" customFormat="false" ht="15" hidden="false" customHeight="false" outlineLevel="0" collapsed="false">
      <c r="B353" s="17" t="s">
        <v>1072</v>
      </c>
      <c r="C353" s="6" t="s">
        <v>239</v>
      </c>
      <c r="D353" s="28" t="n">
        <f aca="false">N(in_w_liab_other)</f>
        <v>0</v>
      </c>
    </row>
    <row r="354" customFormat="false" ht="15" hidden="false" customHeight="false" outlineLevel="0" collapsed="false">
      <c r="B354" s="17" t="s">
        <v>1073</v>
      </c>
      <c r="C354" s="6" t="s">
        <v>1074</v>
      </c>
      <c r="D354" s="28" t="n">
        <f aca="false">v_w_6a+v_w_6b+v_w_6c</f>
        <v>0</v>
      </c>
    </row>
    <row r="355" customFormat="false" ht="15" hidden="false" customHeight="false" outlineLevel="0" collapsed="false">
      <c r="B355" s="17" t="s">
        <v>1075</v>
      </c>
      <c r="C355" s="6" t="s">
        <v>1076</v>
      </c>
      <c r="D355" s="28" t="n">
        <f aca="false">N(in_w_other_out)</f>
        <v>0</v>
      </c>
    </row>
    <row r="356" customFormat="false" ht="15" hidden="false" customHeight="false" outlineLevel="0" collapsed="false">
      <c r="B356" s="17" t="s">
        <v>1077</v>
      </c>
      <c r="C356" s="6" t="s">
        <v>1078</v>
      </c>
      <c r="D356" s="28" t="n">
        <f aca="false">N(in_w_gift)</f>
        <v>0</v>
      </c>
    </row>
    <row r="357" customFormat="false" ht="15" hidden="false" customHeight="false" outlineLevel="0" collapsed="false">
      <c r="B357" s="17" t="s">
        <v>1079</v>
      </c>
      <c r="C357" s="6" t="s">
        <v>1080</v>
      </c>
      <c r="D357" s="28" t="n">
        <f aca="false">N(in_w_cash)</f>
        <v>813794</v>
      </c>
    </row>
    <row r="358" customFormat="false" ht="15" hidden="false" customHeight="false" outlineLevel="0" collapsed="false">
      <c r="B358" s="17" t="s">
        <v>1081</v>
      </c>
      <c r="C358" s="6" t="s">
        <v>1082</v>
      </c>
      <c r="D358" s="28" t="n">
        <f aca="false">in_w_prev&amp;""&lt;&gt;""</f>
        <v>0</v>
      </c>
    </row>
    <row r="359" customFormat="false" ht="15" hidden="false" customHeight="false" outlineLevel="0" collapsed="false">
      <c r="B359" s="17" t="s">
        <v>1083</v>
      </c>
      <c r="C359" s="6" t="s">
        <v>1084</v>
      </c>
      <c r="D359" s="28" t="n">
        <f aca="false">N(in_w_prev)</f>
        <v>0</v>
      </c>
    </row>
    <row r="360" customFormat="false" ht="15" hidden="false" customHeight="false" outlineLevel="0" collapsed="false">
      <c r="B360" s="17" t="s">
        <v>1085</v>
      </c>
      <c r="C360" s="6" t="s">
        <v>18</v>
      </c>
      <c r="D360" s="28" t="str">
        <f aca="false">IF(in_w_balance="Cash and bank","cash",IF(in_w_balance="Gift and other receipts","gift",IF(in_w_balance="None","none",IF(v_prev_given,"cash","gift"))))</f>
        <v>gift</v>
      </c>
    </row>
    <row r="361" customFormat="false" ht="15" hidden="false" customHeight="false" outlineLevel="0" collapsed="false">
      <c r="B361" s="17" t="s">
        <v>1086</v>
      </c>
      <c r="C361" s="6" t="s">
        <v>1087</v>
      </c>
      <c r="D361" s="28" t="n">
        <f aca="false">N(in_lf_food_clothing)+N(in_lf_housing)+N(in_lf_transport)+N(in_lf_utility)+N(in_lf_education)+N(in_lf_travel)+N(in_lf_festival)+N(in_lf_loan_interest)</f>
        <v>200000</v>
      </c>
    </row>
    <row r="362" customFormat="false" ht="15" hidden="false" customHeight="false" outlineLevel="0" collapsed="false">
      <c r="B362" s="17" t="s">
        <v>1088</v>
      </c>
      <c r="C362" s="6" t="s">
        <v>1089</v>
      </c>
      <c r="D362" s="28" t="n">
        <f aca="false">v_tc_F+v_env+v_delay+v_tc_H-v_tc_jsub1-v_tc_jsub2</f>
        <v>36206</v>
      </c>
    </row>
    <row r="363" customFormat="false" ht="15" hidden="false" customHeight="false" outlineLevel="0" collapsed="false">
      <c r="B363" s="17" t="s">
        <v>1090</v>
      </c>
      <c r="C363" s="6" t="s">
        <v>1091</v>
      </c>
      <c r="D363" s="28" t="n">
        <f aca="false">v_tc_jsub1+v_tc_j7+v_tc_j6+IF(v_paid_given,N(in_pay_with_return),MAX(v_k0,0))</f>
        <v>36206</v>
      </c>
    </row>
    <row r="364" customFormat="false" ht="15" hidden="false" customHeight="false" outlineLevel="0" collapsed="false">
      <c r="B364" s="17" t="s">
        <v>1092</v>
      </c>
      <c r="C364" s="6" t="s">
        <v>1093</v>
      </c>
      <c r="D364" s="28" t="n">
        <f aca="false">IF(v_mode="gift",v_non_cash+v_cash_in-v_w_liab,v_r11+v_r26+v_gift_in+v_prev-(v_life_base+IF(in_lf_tax_paid&amp;""&lt;&gt;"",N(in_lf_tax_paid),v_p24_0)+v_other_out))</f>
        <v>15463842</v>
      </c>
    </row>
    <row r="365" customFormat="false" ht="15" hidden="false" customHeight="false" outlineLevel="0" collapsed="false">
      <c r="B365" s="17" t="s">
        <v>1094</v>
      </c>
      <c r="C365" s="6" t="s">
        <v>1095</v>
      </c>
      <c r="D365" s="28" t="n">
        <f aca="false">IF(v_nw0&lt;=p_sur_up1,p_sur_rate1,IF(v_nw0&lt;=p_sur_up2,p_sur_rate2,IF(v_nw0&lt;=p_sur_up3,p_sur_rate3,IF(v_nw0&lt;=p_sur_up4,p_sur_rate4,p_sur_rate5))))</f>
        <v>0</v>
      </c>
    </row>
    <row r="366" customFormat="false" ht="15" hidden="false" customHeight="false" outlineLevel="0" collapsed="false">
      <c r="B366" s="17" t="s">
        <v>1096</v>
      </c>
      <c r="C366" s="6" t="s">
        <v>1097</v>
      </c>
      <c r="D366" s="28" t="n">
        <f aca="false">IF(AND(in_tx_trigger="Yes",v_sur_band_rate&lt;p_sur_trigger),p_sur_trigger,v_sur_band_rate)</f>
        <v>0</v>
      </c>
    </row>
    <row r="367" customFormat="false" ht="15" hidden="false" customHeight="false" outlineLevel="0" collapsed="false">
      <c r="B367" s="17" t="s">
        <v>1098</v>
      </c>
      <c r="C367" s="6" t="s">
        <v>1099</v>
      </c>
      <c r="D367" s="28" t="n">
        <f aca="false">IF(in_tx_sur_override&amp;""&lt;&gt;"",N(in_tx_sur_override),ROUND(IF(p_sur_base=1,v_tc_D,v_tc_F)*v_sur_rate,0))</f>
        <v>0</v>
      </c>
    </row>
    <row r="368" customFormat="false" ht="15" hidden="false" customHeight="false" outlineLevel="0" collapsed="false">
      <c r="B368" s="17" t="s">
        <v>1100</v>
      </c>
      <c r="C368" s="6" t="s">
        <v>1101</v>
      </c>
      <c r="D368" s="28" t="n">
        <f aca="false">v_surcharge+v_env</f>
        <v>0</v>
      </c>
    </row>
    <row r="369" customFormat="false" ht="15" hidden="false" customHeight="false" outlineLevel="0" collapsed="false">
      <c r="B369" s="17" t="s">
        <v>1102</v>
      </c>
      <c r="C369" s="6" t="s">
        <v>1103</v>
      </c>
      <c r="D369" s="28" t="n">
        <f aca="false">v_delay</f>
        <v>0</v>
      </c>
    </row>
    <row r="370" customFormat="false" ht="15" hidden="false" customHeight="false" outlineLevel="0" collapsed="false">
      <c r="B370" s="17" t="s">
        <v>1104</v>
      </c>
      <c r="C370" s="6" t="s">
        <v>1105</v>
      </c>
      <c r="D370" s="28" t="n">
        <f aca="false">v_surcharge+v_env+v_delay</f>
        <v>0</v>
      </c>
    </row>
    <row r="371" customFormat="false" ht="15" hidden="false" customHeight="false" outlineLevel="0" collapsed="false">
      <c r="B371" s="17" t="s">
        <v>1106</v>
      </c>
      <c r="C371" s="6" t="s">
        <v>1107</v>
      </c>
      <c r="D371" s="28" t="n">
        <f aca="false">v_tc_F+v_tc_G+v_tc_H</f>
        <v>36206</v>
      </c>
    </row>
    <row r="372" customFormat="false" ht="15" hidden="false" customHeight="false" outlineLevel="0" collapsed="false">
      <c r="B372" s="17" t="s">
        <v>1108</v>
      </c>
      <c r="C372" s="6" t="s">
        <v>1109</v>
      </c>
      <c r="D372" s="28" t="n">
        <f aca="false">v_tc_I-v_tc_jsub1-v_tc_jsub2</f>
        <v>36206</v>
      </c>
    </row>
    <row r="373" customFormat="false" ht="15" hidden="false" customHeight="false" outlineLevel="0" collapsed="false">
      <c r="B373" s="17" t="s">
        <v>1110</v>
      </c>
      <c r="C373" s="6" t="s">
        <v>1111</v>
      </c>
      <c r="D373" s="28" t="n">
        <f aca="false">IF(v_paid_given,N(in_pay_with_return),0)</f>
        <v>0</v>
      </c>
    </row>
    <row r="374" customFormat="false" ht="15" hidden="false" customHeight="false" outlineLevel="0" collapsed="false">
      <c r="B374" s="17" t="s">
        <v>1112</v>
      </c>
      <c r="C374" s="6" t="s">
        <v>197</v>
      </c>
      <c r="D374" s="28" t="str">
        <f aca="false">in_pay_challan&amp;""</f>
        <v/>
      </c>
    </row>
    <row r="375" customFormat="false" ht="15" hidden="false" customHeight="false" outlineLevel="0" collapsed="false">
      <c r="B375" s="17" t="s">
        <v>1113</v>
      </c>
      <c r="C375" s="6" t="s">
        <v>1114</v>
      </c>
      <c r="D375" s="28" t="n">
        <f aca="false">v_tc_K-v_tc_paid</f>
        <v>36206</v>
      </c>
    </row>
    <row r="376" customFormat="false" ht="15" hidden="false" customHeight="false" outlineLevel="0" collapsed="false">
      <c r="B376" s="17" t="s">
        <v>1115</v>
      </c>
      <c r="C376" s="6" t="s">
        <v>1116</v>
      </c>
      <c r="D376" s="28" t="n">
        <f aca="false">v_tc_B</f>
        <v>36206</v>
      </c>
    </row>
    <row r="377" customFormat="false" ht="15" hidden="false" customHeight="false" outlineLevel="0" collapsed="false">
      <c r="B377" s="17" t="s">
        <v>1117</v>
      </c>
      <c r="C377" s="6" t="s">
        <v>1118</v>
      </c>
      <c r="D377" s="28" t="n">
        <f aca="false">v_c_used</f>
        <v>0</v>
      </c>
    </row>
    <row r="378" customFormat="false" ht="15" hidden="false" customHeight="false" outlineLevel="0" collapsed="false">
      <c r="B378" s="17" t="s">
        <v>1119</v>
      </c>
      <c r="C378" s="6" t="s">
        <v>1120</v>
      </c>
      <c r="D378" s="28" t="n">
        <f aca="false">v_tc_D</f>
        <v>36206</v>
      </c>
    </row>
    <row r="379" customFormat="false" ht="15" hidden="false" customHeight="false" outlineLevel="0" collapsed="false">
      <c r="B379" s="17" t="s">
        <v>1121</v>
      </c>
      <c r="C379" s="6" t="s">
        <v>1122</v>
      </c>
      <c r="D379" s="28" t="n">
        <f aca="false">v_tc_E</f>
        <v>5000</v>
      </c>
    </row>
    <row r="380" customFormat="false" ht="15" hidden="false" customHeight="false" outlineLevel="0" collapsed="false">
      <c r="B380" s="17" t="s">
        <v>1123</v>
      </c>
      <c r="C380" s="6" t="s">
        <v>1124</v>
      </c>
      <c r="D380" s="28" t="n">
        <f aca="false">v_tc_F</f>
        <v>36206</v>
      </c>
    </row>
    <row r="381" customFormat="false" ht="15" hidden="false" customHeight="false" outlineLevel="0" collapsed="false">
      <c r="B381" s="17" t="s">
        <v>1125</v>
      </c>
      <c r="C381" s="6" t="s">
        <v>1126</v>
      </c>
      <c r="D381" s="28" t="n">
        <f aca="false">v_surcharge</f>
        <v>0</v>
      </c>
    </row>
    <row r="382" customFormat="false" ht="15" hidden="false" customHeight="false" outlineLevel="0" collapsed="false">
      <c r="B382" s="17" t="s">
        <v>1127</v>
      </c>
      <c r="C382" s="6" t="s">
        <v>1128</v>
      </c>
      <c r="D382" s="28" t="n">
        <f aca="false">v_env</f>
        <v>0</v>
      </c>
    </row>
    <row r="383" customFormat="false" ht="15" hidden="false" customHeight="false" outlineLevel="0" collapsed="false">
      <c r="B383" s="17" t="s">
        <v>1129</v>
      </c>
      <c r="C383" s="6" t="s">
        <v>1130</v>
      </c>
      <c r="D383" s="28" t="n">
        <f aca="false">v_r17a+v_r17b</f>
        <v>0</v>
      </c>
    </row>
    <row r="384" customFormat="false" ht="15" hidden="false" customHeight="false" outlineLevel="0" collapsed="false">
      <c r="B384" s="17" t="s">
        <v>1131</v>
      </c>
      <c r="C384" s="6" t="s">
        <v>1132</v>
      </c>
      <c r="D384" s="28" t="n">
        <f aca="false">v_delay+v_tc_H</f>
        <v>0</v>
      </c>
    </row>
    <row r="385" customFormat="false" ht="15" hidden="false" customHeight="false" outlineLevel="0" collapsed="false">
      <c r="B385" s="17" t="s">
        <v>1133</v>
      </c>
      <c r="C385" s="6" t="s">
        <v>1134</v>
      </c>
      <c r="D385" s="28" t="n">
        <f aca="false">v_r16+v_r17+v_r18</f>
        <v>36206</v>
      </c>
    </row>
    <row r="386" customFormat="false" ht="15" hidden="false" customHeight="false" outlineLevel="0" collapsed="false">
      <c r="B386" s="17" t="s">
        <v>1135</v>
      </c>
      <c r="C386" s="6" t="s">
        <v>1136</v>
      </c>
      <c r="D386" s="28" t="n">
        <f aca="false">v_tc_jsub1</f>
        <v>0</v>
      </c>
    </row>
    <row r="387" customFormat="false" ht="15" hidden="false" customHeight="false" outlineLevel="0" collapsed="false">
      <c r="B387" s="17" t="s">
        <v>1137</v>
      </c>
      <c r="C387" s="6" t="s">
        <v>1138</v>
      </c>
      <c r="D387" s="28" t="n">
        <f aca="false">v_tc_j7</f>
        <v>0</v>
      </c>
    </row>
    <row r="388" customFormat="false" ht="15" hidden="false" customHeight="false" outlineLevel="0" collapsed="false">
      <c r="B388" s="17" t="s">
        <v>1139</v>
      </c>
      <c r="C388" s="6" t="s">
        <v>1140</v>
      </c>
      <c r="D388" s="28" t="n">
        <f aca="false">v_tc_j6</f>
        <v>0</v>
      </c>
    </row>
    <row r="389" customFormat="false" ht="15" hidden="false" customHeight="false" outlineLevel="0" collapsed="false">
      <c r="B389" s="17" t="s">
        <v>1141</v>
      </c>
      <c r="C389" s="6" t="s">
        <v>1142</v>
      </c>
      <c r="D389" s="28" t="str">
        <f aca="false">in_pay_refund_years&amp;""</f>
        <v/>
      </c>
    </row>
    <row r="390" customFormat="false" ht="15" hidden="false" customHeight="false" outlineLevel="0" collapsed="false">
      <c r="B390" s="17" t="s">
        <v>1143</v>
      </c>
      <c r="C390" s="6" t="s">
        <v>1144</v>
      </c>
      <c r="D390" s="28" t="n">
        <f aca="false">IF(v_paid_given,N(in_pay_with_return),MAX(v_tc_K,0))</f>
        <v>36206</v>
      </c>
    </row>
    <row r="391" customFormat="false" ht="15" hidden="false" customHeight="false" outlineLevel="0" collapsed="false">
      <c r="B391" s="17" t="s">
        <v>1145</v>
      </c>
      <c r="C391" s="6" t="s">
        <v>1146</v>
      </c>
      <c r="D391" s="28" t="n">
        <f aca="false">v_r20+v_r21+v_r22+v_r23</f>
        <v>36206</v>
      </c>
    </row>
    <row r="392" customFormat="false" ht="15" hidden="false" customHeight="false" outlineLevel="0" collapsed="false">
      <c r="B392" s="17" t="s">
        <v>1147</v>
      </c>
      <c r="C392" s="6" t="s">
        <v>1148</v>
      </c>
      <c r="D392" s="28" t="n">
        <f aca="false">v_r19-v_r24</f>
        <v>0</v>
      </c>
    </row>
    <row r="393" customFormat="false" ht="15" hidden="false" customHeight="false" outlineLevel="0" collapsed="false">
      <c r="B393" s="17" t="s">
        <v>1149</v>
      </c>
      <c r="C393" s="6" t="s">
        <v>1150</v>
      </c>
      <c r="D393" s="28" t="n">
        <f aca="false">v_r11</f>
        <v>812058</v>
      </c>
    </row>
    <row r="394" customFormat="false" ht="15" hidden="false" customHeight="false" outlineLevel="0" collapsed="false">
      <c r="B394" s="17" t="s">
        <v>1151</v>
      </c>
      <c r="C394" s="6" t="s">
        <v>1152</v>
      </c>
      <c r="D394" s="28" t="n">
        <f aca="false">v_r24</f>
        <v>36206</v>
      </c>
    </row>
    <row r="395" customFormat="false" ht="15" hidden="false" customHeight="false" outlineLevel="0" collapsed="false">
      <c r="B395" s="17" t="s">
        <v>1153</v>
      </c>
      <c r="C395" s="6" t="s">
        <v>1154</v>
      </c>
      <c r="D395" s="28" t="n">
        <f aca="false">N(in_lf_food_clothing)</f>
        <v>200000</v>
      </c>
    </row>
    <row r="396" customFormat="false" ht="15" hidden="false" customHeight="false" outlineLevel="0" collapsed="false">
      <c r="B396" s="17" t="s">
        <v>1155</v>
      </c>
      <c r="C396" s="6" t="s">
        <v>1156</v>
      </c>
      <c r="D396" s="28" t="n">
        <f aca="false">N(in_lf_housing)</f>
        <v>0</v>
      </c>
    </row>
    <row r="397" customFormat="false" ht="15" hidden="false" customHeight="false" outlineLevel="0" collapsed="false">
      <c r="B397" s="17" t="s">
        <v>1157</v>
      </c>
      <c r="C397" s="6" t="s">
        <v>1158</v>
      </c>
      <c r="D397" s="28" t="n">
        <f aca="false">N(in_lf_transport)</f>
        <v>0</v>
      </c>
    </row>
    <row r="398" customFormat="false" ht="15" hidden="false" customHeight="false" outlineLevel="0" collapsed="false">
      <c r="B398" s="17" t="s">
        <v>1159</v>
      </c>
      <c r="C398" s="6" t="s">
        <v>1160</v>
      </c>
      <c r="D398" s="28" t="n">
        <f aca="false">N(in_lf_utility)</f>
        <v>0</v>
      </c>
    </row>
    <row r="399" customFormat="false" ht="15" hidden="false" customHeight="false" outlineLevel="0" collapsed="false">
      <c r="B399" s="17" t="s">
        <v>1161</v>
      </c>
      <c r="C399" s="6" t="s">
        <v>1162</v>
      </c>
      <c r="D399" s="28" t="n">
        <f aca="false">N(in_lf_education)</f>
        <v>0</v>
      </c>
    </row>
    <row r="400" customFormat="false" ht="15" hidden="false" customHeight="false" outlineLevel="0" collapsed="false">
      <c r="B400" s="17" t="s">
        <v>1163</v>
      </c>
      <c r="C400" s="6" t="s">
        <v>1164</v>
      </c>
      <c r="D400" s="28" t="n">
        <f aca="false">N(in_lf_travel)</f>
        <v>0</v>
      </c>
    </row>
    <row r="401" customFormat="false" ht="15" hidden="false" customHeight="false" outlineLevel="0" collapsed="false">
      <c r="B401" s="17" t="s">
        <v>1165</v>
      </c>
      <c r="C401" s="6" t="s">
        <v>1166</v>
      </c>
      <c r="D401" s="28" t="n">
        <f aca="false">N(in_lf_festival)</f>
        <v>0</v>
      </c>
    </row>
    <row r="402" customFormat="false" ht="15" hidden="false" customHeight="false" outlineLevel="0" collapsed="false">
      <c r="B402" s="17" t="s">
        <v>1167</v>
      </c>
      <c r="C402" s="6" t="s">
        <v>1168</v>
      </c>
      <c r="D402" s="28" t="n">
        <f aca="false">IF(in_lf_tax_paid&amp;""&lt;&gt;"",N(in_lf_tax_paid),v_r24)</f>
        <v>36206</v>
      </c>
    </row>
    <row r="403" customFormat="false" ht="15" hidden="false" customHeight="false" outlineLevel="0" collapsed="false">
      <c r="B403" s="17" t="s">
        <v>1169</v>
      </c>
      <c r="C403" s="6" t="s">
        <v>1170</v>
      </c>
      <c r="D403" s="28" t="n">
        <f aca="false">N(in_lf_loan_interest)</f>
        <v>0</v>
      </c>
    </row>
    <row r="404" customFormat="false" ht="15" hidden="false" customHeight="false" outlineLevel="0" collapsed="false">
      <c r="B404" s="17" t="s">
        <v>1171</v>
      </c>
      <c r="C404" s="6" t="s">
        <v>1172</v>
      </c>
      <c r="D404" s="28" t="str">
        <f aca="false">in_lf_food_clothing_note&amp;""</f>
        <v/>
      </c>
    </row>
    <row r="405" customFormat="false" ht="15" hidden="false" customHeight="false" outlineLevel="0" collapsed="false">
      <c r="B405" s="17" t="s">
        <v>1173</v>
      </c>
      <c r="C405" s="6" t="s">
        <v>1174</v>
      </c>
      <c r="D405" s="28" t="str">
        <f aca="false">in_lf_housing_note&amp;""</f>
        <v>Family House</v>
      </c>
    </row>
    <row r="406" customFormat="false" ht="15" hidden="false" customHeight="false" outlineLevel="0" collapsed="false">
      <c r="B406" s="17" t="s">
        <v>1175</v>
      </c>
      <c r="C406" s="6" t="s">
        <v>1176</v>
      </c>
      <c r="D406" s="28" t="str">
        <f aca="false">in_lf_transport_note&amp;""</f>
        <v/>
      </c>
    </row>
    <row r="407" customFormat="false" ht="15" hidden="false" customHeight="false" outlineLevel="0" collapsed="false">
      <c r="B407" s="17" t="s">
        <v>1177</v>
      </c>
      <c r="C407" s="6" t="s">
        <v>1178</v>
      </c>
      <c r="D407" s="28" t="str">
        <f aca="false">in_lf_utility_note&amp;""</f>
        <v/>
      </c>
    </row>
    <row r="408" customFormat="false" ht="15" hidden="false" customHeight="false" outlineLevel="0" collapsed="false">
      <c r="B408" s="17" t="s">
        <v>1179</v>
      </c>
      <c r="C408" s="6" t="s">
        <v>1180</v>
      </c>
      <c r="D408" s="28" t="str">
        <f aca="false">in_lf_education_note&amp;""</f>
        <v/>
      </c>
    </row>
    <row r="409" customFormat="false" ht="15" hidden="false" customHeight="false" outlineLevel="0" collapsed="false">
      <c r="B409" s="17" t="s">
        <v>1181</v>
      </c>
      <c r="C409" s="6" t="s">
        <v>1182</v>
      </c>
      <c r="D409" s="28" t="str">
        <f aca="false">in_lf_travel_note&amp;""</f>
        <v/>
      </c>
    </row>
    <row r="410" customFormat="false" ht="15" hidden="false" customHeight="false" outlineLevel="0" collapsed="false">
      <c r="B410" s="17" t="s">
        <v>1183</v>
      </c>
      <c r="C410" s="6" t="s">
        <v>1184</v>
      </c>
      <c r="D410" s="28" t="str">
        <f aca="false">in_lf_festival_note&amp;""</f>
        <v/>
      </c>
    </row>
    <row r="411" customFormat="false" ht="15" hidden="false" customHeight="false" outlineLevel="0" collapsed="false">
      <c r="B411" s="17" t="s">
        <v>1185</v>
      </c>
      <c r="C411" s="6" t="s">
        <v>1186</v>
      </c>
      <c r="D411" s="28" t="str">
        <f aca="false">in_lf_tax_paid_note&amp;""</f>
        <v/>
      </c>
    </row>
    <row r="412" customFormat="false" ht="15" hidden="false" customHeight="false" outlineLevel="0" collapsed="false">
      <c r="B412" s="17" t="s">
        <v>1187</v>
      </c>
      <c r="C412" s="6" t="s">
        <v>1188</v>
      </c>
      <c r="D412" s="28" t="str">
        <f aca="false">in_lf_loan_interest_note&amp;""</f>
        <v/>
      </c>
    </row>
    <row r="413" customFormat="false" ht="15" hidden="false" customHeight="false" outlineLevel="0" collapsed="false">
      <c r="B413" s="17" t="s">
        <v>1189</v>
      </c>
      <c r="C413" s="6" t="s">
        <v>1190</v>
      </c>
      <c r="D413" s="28" t="n">
        <f aca="false">SUM(D395:D403)</f>
        <v>236206</v>
      </c>
    </row>
    <row r="414" customFormat="false" ht="15" hidden="false" customHeight="false" outlineLevel="0" collapsed="false">
      <c r="B414" s="17" t="s">
        <v>1191</v>
      </c>
      <c r="C414" s="6" t="s">
        <v>1192</v>
      </c>
      <c r="D414" s="28" t="n">
        <f aca="false">v_lb_total</f>
        <v>236206</v>
      </c>
    </row>
    <row r="415" customFormat="false" ht="15" hidden="false" customHeight="false" outlineLevel="0" collapsed="false">
      <c r="B415" s="17" t="s">
        <v>1193</v>
      </c>
      <c r="C415" s="6" t="s">
        <v>1194</v>
      </c>
      <c r="D415" s="28" t="n">
        <f aca="false">v_lb_total+v_other_out</f>
        <v>236206</v>
      </c>
    </row>
    <row r="416" customFormat="false" ht="15" hidden="false" customHeight="false" outlineLevel="0" collapsed="false">
      <c r="B416" s="17" t="s">
        <v>1195</v>
      </c>
      <c r="C416" s="6" t="s">
        <v>1196</v>
      </c>
      <c r="D416" s="28" t="n">
        <f aca="false">v_r11</f>
        <v>812058</v>
      </c>
    </row>
    <row r="417" customFormat="false" ht="15" hidden="false" customHeight="false" outlineLevel="0" collapsed="false">
      <c r="B417" s="17" t="s">
        <v>1197</v>
      </c>
      <c r="C417" s="6" t="s">
        <v>1198</v>
      </c>
      <c r="D417" s="28" t="n">
        <f aca="false">v_r26</f>
        <v>5308</v>
      </c>
    </row>
    <row r="418" customFormat="false" ht="15" hidden="false" customHeight="false" outlineLevel="0" collapsed="false">
      <c r="B418" s="17" t="s">
        <v>1199</v>
      </c>
      <c r="C418" s="6" t="s">
        <v>1200</v>
      </c>
      <c r="D418" s="28" t="n">
        <f aca="false">IF(v_mode="gift",v_non_cash+v_cash_in-v_w_liab+v_expenses-v_prev-v_r11-v_r26,v_gift_in)</f>
        <v>14882682</v>
      </c>
    </row>
    <row r="419" customFormat="false" ht="15" hidden="false" customHeight="false" outlineLevel="0" collapsed="false">
      <c r="B419" s="17" t="s">
        <v>1201</v>
      </c>
      <c r="C419" s="6" t="s">
        <v>1202</v>
      </c>
      <c r="D419" s="28" t="str">
        <f aca="false">IF(in_w_gift_label&amp;""&lt;&gt;"",in_w_gift_label&amp;"",IF(v_first_return,"(First Return)",""))</f>
        <v>(First Return)</v>
      </c>
    </row>
    <row r="420" customFormat="false" ht="15" hidden="false" customHeight="false" outlineLevel="0" collapsed="false">
      <c r="B420" s="17" t="s">
        <v>1203</v>
      </c>
      <c r="C420" s="6" t="s">
        <v>1204</v>
      </c>
      <c r="D420" s="28" t="n">
        <f aca="false">v_w_1a+v_w_1b+v_w_1c</f>
        <v>15700048</v>
      </c>
    </row>
    <row r="421" customFormat="false" ht="15" hidden="false" customHeight="false" outlineLevel="0" collapsed="false">
      <c r="B421" s="17" t="s">
        <v>1205</v>
      </c>
      <c r="C421" s="6" t="s">
        <v>1206</v>
      </c>
      <c r="D421" s="28" t="str">
        <f aca="false">IF(v_prev_given,v_prev,"")</f>
        <v/>
      </c>
    </row>
    <row r="422" customFormat="false" ht="15" hidden="false" customHeight="false" outlineLevel="0" collapsed="false">
      <c r="B422" s="17" t="s">
        <v>1207</v>
      </c>
      <c r="C422" s="6" t="s">
        <v>1208</v>
      </c>
      <c r="D422" s="28" t="n">
        <f aca="false">v_w_src+v_prev</f>
        <v>15700048</v>
      </c>
    </row>
    <row r="423" customFormat="false" ht="15" hidden="false" customHeight="false" outlineLevel="0" collapsed="false">
      <c r="B423" s="17" t="s">
        <v>1209</v>
      </c>
      <c r="C423" s="6" t="s">
        <v>1210</v>
      </c>
      <c r="D423" s="28" t="n">
        <f aca="false">v_lb_total</f>
        <v>236206</v>
      </c>
    </row>
    <row r="424" customFormat="false" ht="15" hidden="false" customHeight="false" outlineLevel="0" collapsed="false">
      <c r="B424" s="17" t="s">
        <v>1211</v>
      </c>
      <c r="C424" s="6" t="s">
        <v>1212</v>
      </c>
      <c r="D424" s="28" t="n">
        <f aca="false">v_other_out</f>
        <v>0</v>
      </c>
    </row>
    <row r="425" customFormat="false" ht="15" hidden="false" customHeight="false" outlineLevel="0" collapsed="false">
      <c r="B425" s="17" t="s">
        <v>1213</v>
      </c>
      <c r="C425" s="6" t="s">
        <v>1194</v>
      </c>
      <c r="D425" s="28" t="n">
        <f aca="false">v_w_4a+v_w_4b</f>
        <v>236206</v>
      </c>
    </row>
    <row r="426" customFormat="false" ht="15" hidden="false" customHeight="false" outlineLevel="0" collapsed="false">
      <c r="B426" s="17" t="s">
        <v>1214</v>
      </c>
      <c r="C426" s="6" t="s">
        <v>1215</v>
      </c>
      <c r="D426" s="28" t="n">
        <f aca="false">v_w_3-v_w_exp</f>
        <v>15463842</v>
      </c>
    </row>
    <row r="427" customFormat="false" ht="15" hidden="false" customHeight="false" outlineLevel="0" collapsed="false">
      <c r="B427" s="17" t="s">
        <v>1216</v>
      </c>
      <c r="C427" s="6" t="s">
        <v>1217</v>
      </c>
      <c r="D427" s="28" t="n">
        <f aca="false">v_w_5+v_w_liab</f>
        <v>15463842</v>
      </c>
    </row>
    <row r="428" customFormat="false" ht="15" hidden="false" customHeight="false" outlineLevel="0" collapsed="false">
      <c r="B428" s="17" t="s">
        <v>1218</v>
      </c>
      <c r="C428" s="6" t="s">
        <v>1219</v>
      </c>
      <c r="D428" s="28" t="n">
        <f aca="false">IF(v_mode="cash",v_w_5+v_w_liab-v_non_cash,v_cash_in)</f>
        <v>813794</v>
      </c>
    </row>
    <row r="429" customFormat="false" ht="15" hidden="false" customHeight="false" outlineLevel="0" collapsed="false">
      <c r="B429" s="17" t="s">
        <v>1220</v>
      </c>
      <c r="C429" s="6" t="s">
        <v>813</v>
      </c>
      <c r="D429" s="28" t="n">
        <f aca="false">v_non_cash+v_a_k</f>
        <v>15463842</v>
      </c>
    </row>
    <row r="430" customFormat="false" ht="15" hidden="false" customHeight="false" outlineLevel="0" collapsed="false">
      <c r="B430" s="17" t="s">
        <v>1221</v>
      </c>
      <c r="C430" s="6" t="s">
        <v>1222</v>
      </c>
      <c r="D430" s="28" t="str">
        <f aca="false">IF(v_name="","Enter the taxpayer's name.","")</f>
        <v/>
      </c>
    </row>
    <row r="431" customFormat="false" ht="15" hidden="false" customHeight="false" outlineLevel="0" collapsed="false">
      <c r="B431" s="17" t="s">
        <v>1223</v>
      </c>
      <c r="C431" s="6" t="s">
        <v>1224</v>
      </c>
      <c r="D431" s="28" t="str">
        <f aca="false">IF(LEN(v_tin)&lt;&gt;12,"The TIN must have 12 digits.","")</f>
        <v/>
      </c>
    </row>
    <row r="432" customFormat="false" ht="15" hidden="false" customHeight="false" outlineLevel="0" collapsed="false">
      <c r="B432" s="17" t="s">
        <v>1225</v>
      </c>
      <c r="C432" s="6" t="s">
        <v>1226</v>
      </c>
      <c r="D432" s="28" t="str">
        <f aca="false">IF(AND(v_mode="gift",v_w_1c&lt;0),"Receipt of gift and others is negative ("&amp;TEXT(v_w_1c,"#,##0")&amp;"): the assets are smaller than income + last year's wealth - expenses.","")</f>
        <v/>
      </c>
    </row>
    <row r="433" customFormat="false" ht="15" hidden="false" customHeight="false" outlineLevel="0" collapsed="false">
      <c r="B433" s="17" t="s">
        <v>1227</v>
      </c>
      <c r="C433" s="6" t="s">
        <v>1228</v>
      </c>
      <c r="D433" s="28" t="str">
        <f aca="false">IF(AND(v_mode="cash",v_a_k&lt;0),"Cash and bank is negative ("&amp;TEXT(v_a_k,"#,##0")&amp;"): expenses and assets exceed the sources of fund. Add a source or check the figures.","")</f>
        <v/>
      </c>
    </row>
    <row r="434" customFormat="false" ht="15" hidden="false" customHeight="false" outlineLevel="0" collapsed="false">
      <c r="B434" s="17" t="s">
        <v>1229</v>
      </c>
      <c r="C434" s="6" t="s">
        <v>1230</v>
      </c>
      <c r="D434" s="28" t="str">
        <f aca="false">IF(ABS(v_a_total-v_w_7)&gt;=1,"IT-10B does not balance: total assets "&amp;TEXT(v_a_total,"#,##0")&amp;" vs gross wealth "&amp;TEXT(v_w_7,"#,##0")&amp;".","")</f>
        <v/>
      </c>
    </row>
    <row r="435" customFormat="false" ht="15" hidden="false" customHeight="false" outlineLevel="0" collapsed="false">
      <c r="B435" s="17" t="s">
        <v>1231</v>
      </c>
      <c r="C435" s="6" t="s">
        <v>1232</v>
      </c>
      <c r="D435" s="28" t="str">
        <f aca="false">IF(AND(v_biz_present,ABS(v_s4_r16-v_s4_r10)&gt;=1),"Schedule 4 balance sheet does not balance.","")</f>
        <v/>
      </c>
    </row>
    <row r="436" customFormat="false" ht="15" hidden="false" customHeight="false" outlineLevel="0" collapsed="false">
      <c r="B436" s="17" t="s">
        <v>1233</v>
      </c>
      <c r="C436" s="6" t="s">
        <v>1234</v>
      </c>
      <c r="D436" s="28" t="str">
        <f aca="false">IF(v_r25&gt;0,"Deficit of Tk "&amp;TEXT(v_r25,"#,##0")&amp;": payments are less than the tax payable.",IF(v_r25&lt;0,"Excess payment of Tk "&amp;TEXT(-v_r25,"#,##0")&amp;" (refundable).",""))</f>
        <v/>
      </c>
    </row>
    <row r="437" customFormat="false" ht="15" hidden="false" customHeight="false" outlineLevel="0" collapsed="false">
      <c r="B437" s="17" t="s">
        <v>1235</v>
      </c>
      <c r="C437" s="6" t="s">
        <v>1236</v>
      </c>
      <c r="D437" s="28" t="str">
        <f aca="false">IF(AND(v_tc_E&gt;v_tc_D,v_tc_F&gt;0),"Minimum tax applies: tax after rebate is "&amp;TEXT(v_tc_D,"#,##0")&amp;" but the minimum is "&amp;TEXT(v_tc_E,"#,##0")&amp;".","")</f>
        <v/>
      </c>
    </row>
    <row r="438" customFormat="false" ht="15" hidden="false" customHeight="false" outlineLevel="0" collapsed="false">
      <c r="B438" s="17" t="s">
        <v>1237</v>
      </c>
      <c r="C438" s="6" t="s">
        <v>1238</v>
      </c>
      <c r="D438" s="28" t="str">
        <f aca="false">"Tax rules ("&amp;in_profile&amp;"): "&amp;p_warning</f>
        <v>Tax rules (sample-template): This profile copies the sample template, which still uses the older slab table (5% band). Reports on AY 2026-27 say the 5% band was removed and thresholds were raised. Use it to reproduce the sample or when you have confirmed it is right for your case.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.25"/>
    <col collapsed="false" customWidth="true" hidden="false" outlineLevel="0" max="3" min="3" style="0" width="1.37"/>
    <col collapsed="false" customWidth="true" hidden="false" outlineLevel="0" max="4" min="4" style="0" width="0.25"/>
    <col collapsed="false" customWidth="true" hidden="false" outlineLevel="0" max="5" min="5" style="0" width="1.37"/>
    <col collapsed="false" customWidth="true" hidden="false" outlineLevel="0" max="6" min="6" style="0" width="2.25"/>
    <col collapsed="false" customWidth="true" hidden="false" outlineLevel="0" max="7" min="7" style="0" width="0.25"/>
    <col collapsed="false" customWidth="true" hidden="false" outlineLevel="0" max="8" min="8" style="0" width="1.63"/>
    <col collapsed="false" customWidth="true" hidden="false" outlineLevel="0" max="9" min="9" style="0" width="0.5"/>
    <col collapsed="false" customWidth="true" hidden="false" outlineLevel="0" max="10" min="10" style="0" width="1.5"/>
    <col collapsed="false" customWidth="true" hidden="false" outlineLevel="0" max="11" min="11" style="0" width="0.25"/>
    <col collapsed="false" customWidth="true" hidden="false" outlineLevel="0" max="12" min="12" style="0" width="0.37"/>
    <col collapsed="false" customWidth="true" hidden="false" outlineLevel="0" max="13" min="13" style="0" width="1"/>
    <col collapsed="false" customWidth="true" hidden="false" outlineLevel="0" max="14" min="14" style="0" width="0.37"/>
    <col collapsed="false" customWidth="true" hidden="false" outlineLevel="0" max="15" min="15" style="0" width="1"/>
    <col collapsed="false" customWidth="true" hidden="false" outlineLevel="0" max="16" min="16" style="0" width="0.37"/>
    <col collapsed="false" customWidth="true" hidden="false" outlineLevel="0" max="18" min="17" style="0" width="1.37"/>
    <col collapsed="false" customWidth="true" hidden="false" outlineLevel="0" max="19" min="19" style="0" width="0.25"/>
    <col collapsed="false" customWidth="true" hidden="false" outlineLevel="0" max="20" min="20" style="0" width="1.37"/>
    <col collapsed="false" customWidth="true" hidden="false" outlineLevel="0" max="21" min="21" style="0" width="1.5"/>
    <col collapsed="false" customWidth="true" hidden="false" outlineLevel="0" max="22" min="22" style="0" width="0.37"/>
    <col collapsed="false" customWidth="true" hidden="false" outlineLevel="0" max="23" min="23" style="0" width="1.25"/>
    <col collapsed="false" customWidth="true" hidden="false" outlineLevel="0" max="24" min="24" style="0" width="0.87"/>
    <col collapsed="false" customWidth="true" hidden="false" outlineLevel="0" max="25" min="25" style="0" width="0.62"/>
    <col collapsed="false" customWidth="true" hidden="false" outlineLevel="0" max="26" min="26" style="0" width="0.37"/>
    <col collapsed="false" customWidth="true" hidden="false" outlineLevel="0" max="27" min="27" style="0" width="1.25"/>
    <col collapsed="false" customWidth="true" hidden="false" outlineLevel="0" max="28" min="28" style="0" width="1.5"/>
    <col collapsed="false" customWidth="true" hidden="false" outlineLevel="0" max="29" min="29" style="0" width="0.25"/>
    <col collapsed="false" customWidth="true" hidden="false" outlineLevel="0" max="30" min="30" style="0" width="0.37"/>
    <col collapsed="false" customWidth="true" hidden="false" outlineLevel="0" max="32" min="31" style="0" width="1"/>
    <col collapsed="false" customWidth="true" hidden="false" outlineLevel="0" max="34" min="33" style="0" width="0.37"/>
    <col collapsed="false" customWidth="true" hidden="false" outlineLevel="0" max="35" min="35" style="0" width="1.37"/>
    <col collapsed="false" customWidth="true" hidden="false" outlineLevel="0" max="36" min="36" style="0" width="0.5"/>
    <col collapsed="false" customWidth="true" hidden="false" outlineLevel="0" max="37" min="37" style="0" width="0.87"/>
    <col collapsed="false" customWidth="true" hidden="false" outlineLevel="0" max="38" min="38" style="0" width="0.37"/>
    <col collapsed="false" customWidth="true" hidden="false" outlineLevel="0" max="39" min="39" style="0" width="1.25"/>
    <col collapsed="false" customWidth="true" hidden="false" outlineLevel="0" max="40" min="40" style="0" width="1.5"/>
    <col collapsed="false" customWidth="true" hidden="false" outlineLevel="0" max="41" min="41" style="0" width="0.37"/>
    <col collapsed="false" customWidth="true" hidden="false" outlineLevel="0" max="43" min="42" style="0" width="1.37"/>
    <col collapsed="false" customWidth="true" hidden="false" outlineLevel="0" max="44" min="44" style="0" width="0.37"/>
    <col collapsed="false" customWidth="true" hidden="false" outlineLevel="0" max="45" min="45" style="0" width="1.25"/>
    <col collapsed="false" customWidth="true" hidden="false" outlineLevel="0" max="46" min="46" style="0" width="1.88"/>
    <col collapsed="false" customWidth="true" hidden="false" outlineLevel="0" max="47" min="47" style="0" width="1.25"/>
    <col collapsed="false" customWidth="true" hidden="false" outlineLevel="0" max="48" min="48" style="0" width="0.37"/>
    <col collapsed="false" customWidth="true" hidden="false" outlineLevel="0" max="49" min="49" style="0" width="26"/>
    <col collapsed="false" customWidth="true" hidden="false" outlineLevel="0" max="50" min="50" style="0" width="13.63"/>
    <col collapsed="false" customWidth="true" hidden="false" outlineLevel="0" max="51" min="51" style="0" width="0.25"/>
  </cols>
  <sheetData>
    <row r="1" customFormat="false" ht="14.25" hidden="false" customHeight="true" outlineLevel="0" collapsed="false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30" t="s">
        <v>1239</v>
      </c>
    </row>
    <row r="2" customFormat="false" ht="9.75" hidden="false" customHeight="true" outlineLevel="0" collapsed="false">
      <c r="A2" s="31"/>
      <c r="AX2" s="32"/>
    </row>
    <row r="3" customFormat="false" ht="87.75" hidden="false" customHeight="true" outlineLevel="0" collapsed="false">
      <c r="A3" s="31"/>
      <c r="AE3" s="33" t="s">
        <v>1240</v>
      </c>
      <c r="AX3" s="32"/>
    </row>
    <row r="4" customFormat="false" ht="13.5" hidden="false" customHeight="true" outlineLevel="0" collapsed="false">
      <c r="A4" s="31"/>
      <c r="AG4" s="33" t="s">
        <v>1241</v>
      </c>
      <c r="AX4" s="32"/>
    </row>
    <row r="5" customFormat="false" ht="14.25" hidden="false" customHeight="true" outlineLevel="0" collapsed="false">
      <c r="A5" s="31"/>
      <c r="AK5" s="33" t="s">
        <v>1242</v>
      </c>
      <c r="AX5" s="32"/>
    </row>
    <row r="6" customFormat="false" ht="27.75" hidden="false" customHeight="true" outlineLevel="0" collapsed="false">
      <c r="A6" s="31"/>
      <c r="T6" s="34" t="s">
        <v>1243</v>
      </c>
      <c r="AX6" s="32"/>
    </row>
    <row r="7" customFormat="false" ht="28.5" hidden="false" customHeight="true" outlineLevel="0" collapsed="false">
      <c r="A7" s="31"/>
      <c r="AB7" s="33" t="s">
        <v>1244</v>
      </c>
      <c r="AU7" s="35" t="str">
        <f aca="false">v_ay</f>
        <v>2026-2027</v>
      </c>
      <c r="AV7" s="35"/>
      <c r="AW7" s="35"/>
      <c r="AX7" s="32"/>
    </row>
    <row r="8" customFormat="false" ht="42" hidden="false" customHeight="true" outlineLevel="0" collapsed="false">
      <c r="A8" s="36" t="s">
        <v>1245</v>
      </c>
      <c r="R8" s="37" t="str">
        <f aca="false">v_name</f>
        <v>Sample Taxpayer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1"/>
    </row>
    <row r="9" customFormat="false" ht="25.5" hidden="false" customHeight="true" outlineLevel="0" collapsed="false">
      <c r="A9" s="36" t="s">
        <v>1246</v>
      </c>
      <c r="AV9" s="37" t="str">
        <f aca="false">v_nid</f>
        <v>1234567890</v>
      </c>
      <c r="AW9" s="37"/>
      <c r="AX9" s="37"/>
      <c r="AY9" s="31"/>
    </row>
    <row r="10" customFormat="false" ht="14.25" hidden="false" customHeight="true" outlineLevel="0" collapsed="false">
      <c r="A10" s="31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X10" s="32"/>
    </row>
    <row r="11" customFormat="false" ht="17.25" hidden="false" customHeight="true" outlineLevel="0" collapsed="false">
      <c r="A11" s="38" t="s">
        <v>1247</v>
      </c>
      <c r="B11" s="32"/>
      <c r="C11" s="29"/>
      <c r="D11" s="39" t="str">
        <f aca="false">MID(v_tin,1,1)</f>
        <v>1</v>
      </c>
      <c r="E11" s="40"/>
      <c r="F11" s="29"/>
      <c r="G11" s="39" t="str">
        <f aca="false">MID(v_tin,2,1)</f>
        <v>1</v>
      </c>
      <c r="H11" s="29"/>
      <c r="I11" s="40"/>
      <c r="J11" s="29"/>
      <c r="K11" s="39" t="str">
        <f aca="false">MID(v_tin,3,1)</f>
        <v>1</v>
      </c>
      <c r="L11" s="29"/>
      <c r="M11" s="40"/>
      <c r="N11" s="29"/>
      <c r="O11" s="29"/>
      <c r="P11" s="39" t="str">
        <f aca="false">MID(v_tin,4,1)</f>
        <v>1</v>
      </c>
      <c r="Q11" s="40"/>
      <c r="R11" s="29"/>
      <c r="S11" s="39" t="str">
        <f aca="false">MID(v_tin,5,1)</f>
        <v>2</v>
      </c>
      <c r="T11" s="40"/>
      <c r="U11" s="29"/>
      <c r="V11" s="39" t="str">
        <f aca="false">MID(v_tin,6,1)</f>
        <v>2</v>
      </c>
      <c r="W11" s="40"/>
      <c r="X11" s="29"/>
      <c r="Y11" s="29"/>
      <c r="Z11" s="39" t="str">
        <f aca="false">MID(v_tin,7,1)</f>
        <v>2</v>
      </c>
      <c r="AA11" s="40"/>
      <c r="AB11" s="29"/>
      <c r="AC11" s="39" t="str">
        <f aca="false">MID(v_tin,8,1)</f>
        <v>2</v>
      </c>
      <c r="AD11" s="29"/>
      <c r="AE11" s="40"/>
      <c r="AF11" s="29"/>
      <c r="AG11" s="29"/>
      <c r="AH11" s="39" t="str">
        <f aca="false">MID(v_tin,9,1)</f>
        <v>3</v>
      </c>
      <c r="AI11" s="40"/>
      <c r="AJ11" s="29"/>
      <c r="AK11" s="29"/>
      <c r="AL11" s="39" t="str">
        <f aca="false">MID(v_tin,10,1)</f>
        <v>3</v>
      </c>
      <c r="AM11" s="40"/>
      <c r="AN11" s="29"/>
      <c r="AO11" s="39" t="str">
        <f aca="false">MID(v_tin,11,1)</f>
        <v>3</v>
      </c>
      <c r="AP11" s="40"/>
      <c r="AQ11" s="29"/>
      <c r="AR11" s="39" t="str">
        <f aca="false">MID(v_tin,12,1)</f>
        <v>3</v>
      </c>
      <c r="AS11" s="40"/>
      <c r="AX11" s="32"/>
    </row>
    <row r="12" customFormat="false" ht="28.5" hidden="false" customHeight="true" outlineLevel="0" collapsed="false">
      <c r="A12" s="36" t="s">
        <v>1248</v>
      </c>
      <c r="M12" s="37" t="str">
        <f aca="false">v_circle</f>
        <v>000</v>
      </c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F12" s="41" t="s">
        <v>1249</v>
      </c>
      <c r="AW12" s="37" t="str">
        <f aca="false">v_zone</f>
        <v>Cumilla</v>
      </c>
      <c r="AX12" s="37"/>
      <c r="AY12" s="31"/>
    </row>
    <row r="13" customFormat="false" ht="51" hidden="false" customHeight="true" outlineLevel="0" collapsed="false">
      <c r="A13" s="36" t="s">
        <v>1250</v>
      </c>
      <c r="O13" s="41" t="s">
        <v>1251</v>
      </c>
      <c r="Y13" s="42" t="n">
        <f aca="false">v_ack_income</f>
        <v>812058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X13" s="32"/>
    </row>
    <row r="14" customFormat="false" ht="30.75" hidden="false" customHeight="true" outlineLevel="0" collapsed="false">
      <c r="A14" s="36" t="s">
        <v>1252</v>
      </c>
      <c r="O14" s="41" t="s">
        <v>1251</v>
      </c>
      <c r="Y14" s="42" t="n">
        <f aca="false">v_ack_paid</f>
        <v>36206</v>
      </c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X14" s="32"/>
    </row>
    <row r="15" customFormat="false" ht="28.5" hidden="false" customHeight="true" outlineLevel="0" collapsed="false">
      <c r="A15" s="4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X15" s="32"/>
    </row>
    <row r="16" customFormat="false" ht="19.5" hidden="false" customHeight="true" outlineLevel="0" collapsed="false">
      <c r="A16" s="36" t="s">
        <v>1253</v>
      </c>
      <c r="T16" s="32"/>
      <c r="AP16" s="32"/>
      <c r="AX16" s="32"/>
    </row>
    <row r="17" customFormat="false" ht="6.75" hidden="false" customHeight="true" outlineLevel="0" collapsed="false">
      <c r="A17" s="43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40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40"/>
      <c r="AX17" s="32"/>
    </row>
    <row r="18" customFormat="false" ht="18.75" hidden="false" customHeight="true" outlineLevel="0" collapsed="false">
      <c r="A18" s="36" t="s">
        <v>1254</v>
      </c>
      <c r="T18" s="32"/>
      <c r="AP18" s="32"/>
      <c r="AX18" s="32"/>
    </row>
    <row r="19" customFormat="false" ht="6.75" hidden="false" customHeight="true" outlineLevel="0" collapsed="false">
      <c r="A19" s="43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40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40"/>
      <c r="AX19" s="32"/>
    </row>
    <row r="20" customFormat="false" ht="18" hidden="false" customHeight="true" outlineLevel="0" collapsed="false">
      <c r="A20" s="36" t="s">
        <v>1255</v>
      </c>
      <c r="T20" s="32"/>
      <c r="AP20" s="32"/>
      <c r="AX20" s="32"/>
    </row>
    <row r="21" customFormat="false" ht="6" hidden="false" customHeight="true" outlineLevel="0" collapsed="false">
      <c r="A21" s="43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40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40"/>
      <c r="AX21" s="32"/>
    </row>
    <row r="22" customFormat="false" ht="83.25" hidden="false" customHeight="true" outlineLevel="0" collapsed="false">
      <c r="A22" s="31"/>
      <c r="B22" s="41" t="s">
        <v>1256</v>
      </c>
      <c r="AV22" s="41" t="s">
        <v>1257</v>
      </c>
      <c r="AX22" s="32"/>
    </row>
    <row r="23" customFormat="false" ht="56.25" hidden="false" customHeight="true" outlineLevel="0" collapsed="false">
      <c r="A23" s="43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40"/>
    </row>
    <row r="24" customFormat="false" ht="13.5" hidden="false" customHeight="true" outlineLevel="0" collapsed="false">
      <c r="I24" s="41" t="s">
        <v>1258</v>
      </c>
    </row>
    <row r="25" customFormat="false" ht="1.5" hidden="false" customHeight="true" outlineLevel="0" collapsed="false"/>
  </sheetData>
  <sheetProtection sheet="true"/>
  <mergeCells count="7">
    <mergeCell ref="AU7:AW7"/>
    <mergeCell ref="R8:AX8"/>
    <mergeCell ref="AV9:AX9"/>
    <mergeCell ref="M12:AD12"/>
    <mergeCell ref="AW12:AX12"/>
    <mergeCell ref="Y13:AP13"/>
    <mergeCell ref="Y14:AP14"/>
  </mergeCells>
  <printOptions headings="false" gridLines="false" gridLinesSet="true" horizontalCentered="false" verticalCentered="false"/>
  <pageMargins left="0.4625" right="0.371527777777778" top="1.22291666666667" bottom="1.172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Y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2" min="1" style="0" width="0.37"/>
    <col collapsed="false" customWidth="true" hidden="false" outlineLevel="0" max="3" min="3" style="0" width="2.38"/>
    <col collapsed="false" customWidth="true" hidden="false" outlineLevel="0" max="4" min="4" style="0" width="0.37"/>
    <col collapsed="false" customWidth="true" hidden="false" outlineLevel="0" max="5" min="5" style="0" width="1"/>
    <col collapsed="false" customWidth="true" hidden="false" outlineLevel="0" max="6" min="6" style="0" width="0.25"/>
    <col collapsed="false" customWidth="true" hidden="false" outlineLevel="0" max="7" min="7" style="0" width="1.37"/>
    <col collapsed="false" customWidth="true" hidden="false" outlineLevel="0" max="8" min="8" style="0" width="1.5"/>
    <col collapsed="false" customWidth="true" hidden="false" outlineLevel="0" max="9" min="9" style="0" width="0.25"/>
    <col collapsed="false" customWidth="true" hidden="false" outlineLevel="0" max="10" min="10" style="0" width="1.37"/>
    <col collapsed="false" customWidth="true" hidden="false" outlineLevel="0" max="11" min="11" style="0" width="3.37"/>
    <col collapsed="false" customWidth="true" hidden="false" outlineLevel="0" max="12" min="12" style="0" width="1.25"/>
    <col collapsed="false" customWidth="true" hidden="false" outlineLevel="0" max="13" min="13" style="0" width="0.37"/>
    <col collapsed="false" customWidth="true" hidden="false" outlineLevel="0" max="14" min="14" style="0" width="1.12"/>
    <col collapsed="false" customWidth="true" hidden="false" outlineLevel="0" max="15" min="15" style="0" width="0.25"/>
    <col collapsed="false" customWidth="true" hidden="false" outlineLevel="0" max="17" min="16" style="0" width="1.37"/>
    <col collapsed="false" customWidth="true" hidden="false" outlineLevel="0" max="18" min="18" style="0" width="0.37"/>
    <col collapsed="false" customWidth="true" hidden="false" outlineLevel="0" max="20" min="19" style="0" width="1.37"/>
    <col collapsed="false" customWidth="true" hidden="false" outlineLevel="0" max="21" min="21" style="0" width="0.37"/>
    <col collapsed="false" customWidth="true" hidden="false" outlineLevel="0" max="23" min="22" style="0" width="1.37"/>
    <col collapsed="false" customWidth="true" hidden="false" outlineLevel="0" max="24" min="24" style="0" width="0.37"/>
    <col collapsed="false" customWidth="true" hidden="false" outlineLevel="0" max="25" min="25" style="0" width="1.25"/>
    <col collapsed="false" customWidth="true" hidden="false" outlineLevel="0" max="26" min="26" style="0" width="1.5"/>
    <col collapsed="false" customWidth="true" hidden="false" outlineLevel="0" max="27" min="27" style="0" width="0.25"/>
    <col collapsed="false" customWidth="true" hidden="false" outlineLevel="0" max="28" min="28" style="0" width="1.37"/>
    <col collapsed="false" customWidth="true" hidden="false" outlineLevel="0" max="29" min="29" style="0" width="1.5"/>
    <col collapsed="false" customWidth="true" hidden="false" outlineLevel="0" max="30" min="30" style="0" width="0.25"/>
    <col collapsed="false" customWidth="true" hidden="false" outlineLevel="0" max="32" min="31" style="0" width="1.37"/>
    <col collapsed="false" customWidth="true" hidden="false" outlineLevel="0" max="33" min="33" style="0" width="0.37"/>
    <col collapsed="false" customWidth="true" hidden="false" outlineLevel="0" max="35" min="34" style="0" width="1.37"/>
    <col collapsed="false" customWidth="true" hidden="false" outlineLevel="0" max="36" min="36" style="0" width="0.25"/>
    <col collapsed="false" customWidth="true" hidden="false" outlineLevel="0" max="37" min="37" style="0" width="0.5"/>
    <col collapsed="false" customWidth="true" hidden="false" outlineLevel="0" max="38" min="38" style="0" width="1"/>
    <col collapsed="false" customWidth="true" hidden="false" outlineLevel="0" max="39" min="39" style="0" width="0.25"/>
    <col collapsed="false" customWidth="true" hidden="false" outlineLevel="0" max="40" min="40" style="0" width="0.62"/>
    <col collapsed="false" customWidth="true" hidden="false" outlineLevel="0" max="41" min="41" style="0" width="0.5"/>
    <col collapsed="false" customWidth="true" hidden="false" outlineLevel="0" max="42" min="42" style="0" width="0.12"/>
    <col collapsed="false" customWidth="true" hidden="false" outlineLevel="0" max="43" min="43" style="0" width="0.25"/>
    <col collapsed="false" customWidth="true" hidden="false" outlineLevel="0" max="44" min="44" style="0" width="0.87"/>
    <col collapsed="false" customWidth="true" hidden="false" outlineLevel="0" max="45" min="45" style="0" width="0.37"/>
    <col collapsed="false" customWidth="true" hidden="false" outlineLevel="0" max="46" min="46" style="0" width="0.87"/>
    <col collapsed="false" customWidth="true" hidden="false" outlineLevel="0" max="47" min="47" style="0" width="0.62"/>
    <col collapsed="false" customWidth="true" hidden="false" outlineLevel="0" max="48" min="48" style="0" width="0.25"/>
    <col collapsed="false" customWidth="true" hidden="false" outlineLevel="0" max="49" min="49" style="0" width="1.37"/>
    <col collapsed="false" customWidth="true" hidden="false" outlineLevel="0" max="50" min="50" style="0" width="0.5"/>
    <col collapsed="false" customWidth="true" hidden="false" outlineLevel="0" max="51" min="51" style="0" width="0.37"/>
    <col collapsed="false" customWidth="true" hidden="false" outlineLevel="0" max="52" min="52" style="0" width="0.62"/>
    <col collapsed="false" customWidth="true" hidden="false" outlineLevel="0" max="53" min="53" style="0" width="0.25"/>
    <col collapsed="false" customWidth="true" hidden="false" outlineLevel="0" max="55" min="54" style="0" width="1.37"/>
    <col collapsed="false" customWidth="true" hidden="false" outlineLevel="0" max="56" min="56" style="0" width="0.37"/>
    <col collapsed="false" customWidth="true" hidden="false" outlineLevel="0" max="57" min="57" style="0" width="1.37"/>
    <col collapsed="false" customWidth="true" hidden="false" outlineLevel="0" max="58" min="58" style="0" width="0.37"/>
    <col collapsed="false" customWidth="true" hidden="false" outlineLevel="0" max="59" min="59" style="0" width="1"/>
    <col collapsed="false" customWidth="true" hidden="false" outlineLevel="0" max="60" min="60" style="0" width="0.37"/>
    <col collapsed="false" customWidth="true" hidden="false" outlineLevel="0" max="61" min="61" style="0" width="1.37"/>
    <col collapsed="false" customWidth="true" hidden="false" outlineLevel="0" max="62" min="62" style="0" width="2.5"/>
    <col collapsed="false" customWidth="true" hidden="false" outlineLevel="0" max="63" min="63" style="0" width="4.25"/>
    <col collapsed="false" customWidth="true" hidden="false" outlineLevel="0" max="64" min="64" style="0" width="3.12"/>
    <col collapsed="false" customWidth="true" hidden="false" outlineLevel="0" max="65" min="65" style="0" width="1.25"/>
    <col collapsed="false" customWidth="true" hidden="false" outlineLevel="0" max="67" min="66" style="0" width="0.25"/>
    <col collapsed="false" customWidth="true" hidden="false" outlineLevel="0" max="68" min="68" style="0" width="0.37"/>
    <col collapsed="false" customWidth="true" hidden="false" outlineLevel="0" max="69" min="69" style="0" width="1.88"/>
    <col collapsed="false" customWidth="true" hidden="false" outlineLevel="0" max="70" min="70" style="0" width="2.5"/>
    <col collapsed="false" customWidth="true" hidden="false" outlineLevel="0" max="71" min="71" style="0" width="3.37"/>
    <col collapsed="false" customWidth="true" hidden="false" outlineLevel="0" max="72" min="72" style="0" width="7.63"/>
    <col collapsed="false" customWidth="true" hidden="false" outlineLevel="0" max="73" min="73" style="0" width="1.25"/>
    <col collapsed="false" customWidth="true" hidden="false" outlineLevel="0" max="74" min="74" style="0" width="0.37"/>
    <col collapsed="false" customWidth="true" hidden="false" outlineLevel="0" max="75" min="75" style="0" width="1.5"/>
    <col collapsed="false" customWidth="true" hidden="false" outlineLevel="0" max="76" min="76" style="0" width="2.88"/>
    <col collapsed="false" customWidth="true" hidden="false" outlineLevel="0" max="77" min="77" style="0" width="0.5"/>
    <col collapsed="false" customWidth="true" hidden="false" outlineLevel="0" max="78" min="78" style="0" width="0.25"/>
  </cols>
  <sheetData>
    <row r="1" customFormat="false" ht="14.25" hidden="false" customHeight="true" outlineLevel="0" collapsed="false">
      <c r="AL1" s="33" t="s">
        <v>1241</v>
      </c>
    </row>
    <row r="2" customFormat="false" ht="15.75" hidden="false" customHeight="true" outlineLevel="0" collapsed="false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T2" s="34" t="s">
        <v>1259</v>
      </c>
      <c r="BT2" s="33" t="s">
        <v>1260</v>
      </c>
    </row>
    <row r="3" customFormat="false" ht="14.25" hidden="false" customHeight="true" outlineLevel="0" collapsed="false">
      <c r="A3" s="31"/>
      <c r="L3" s="41" t="s">
        <v>1261</v>
      </c>
      <c r="AH3" s="32"/>
    </row>
    <row r="4" customFormat="false" ht="2.25" hidden="false" customHeight="true" outlineLevel="0" collapsed="false">
      <c r="A4" s="43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40"/>
    </row>
    <row r="5" customFormat="false" ht="15" hidden="false" customHeight="true" outlineLevel="0" collapsed="false">
      <c r="A5" s="36" t="s">
        <v>1253</v>
      </c>
      <c r="V5" s="32"/>
      <c r="AH5" s="32"/>
      <c r="AS5" s="33" t="s">
        <v>1262</v>
      </c>
    </row>
    <row r="6" customFormat="false" ht="1.5" hidden="false" customHeight="true" outlineLevel="0" collapsed="false">
      <c r="A6" s="43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40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40"/>
    </row>
    <row r="7" customFormat="false" ht="15" hidden="false" customHeight="true" outlineLevel="0" collapsed="false">
      <c r="A7" s="36" t="s">
        <v>1254</v>
      </c>
      <c r="V7" s="32"/>
      <c r="AH7" s="32"/>
      <c r="AN7" s="33" t="s">
        <v>1263</v>
      </c>
    </row>
    <row r="8" customFormat="false" ht="1.5" hidden="false" customHeight="true" outlineLevel="0" collapsed="false">
      <c r="A8" s="43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40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40"/>
    </row>
    <row r="9" customFormat="false" ht="15.75" hidden="false" customHeight="true" outlineLevel="0" collapsed="false">
      <c r="A9" s="36" t="s">
        <v>1255</v>
      </c>
      <c r="V9" s="32"/>
      <c r="AH9" s="32"/>
    </row>
    <row r="10" customFormat="false" ht="3" hidden="false" customHeight="true" outlineLevel="0" collapsed="false">
      <c r="A10" s="43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40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40"/>
    </row>
    <row r="11" customFormat="false" ht="13.5" hidden="false" customHeight="true" outlineLevel="0" collapsed="false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</row>
    <row r="12" customFormat="false" ht="0.75" hidden="false" customHeight="true" outlineLevel="0" collapsed="false">
      <c r="A12" s="45"/>
    </row>
    <row r="13" customFormat="false" ht="14.25" hidden="false" customHeight="true" outlineLevel="0" collapsed="false">
      <c r="A13" s="45"/>
      <c r="C13" s="41" t="s">
        <v>1264</v>
      </c>
      <c r="D13" s="41" t="s">
        <v>1245</v>
      </c>
      <c r="W13" s="37" t="str">
        <f aca="false">v_name</f>
        <v>Sample Taxpayer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46"/>
    </row>
    <row r="14" customFormat="false" ht="30.75" hidden="false" customHeight="true" outlineLevel="0" collapsed="false">
      <c r="A14" s="45"/>
      <c r="C14" s="41" t="s">
        <v>1265</v>
      </c>
      <c r="D14" s="41" t="s">
        <v>1246</v>
      </c>
      <c r="BF14" s="37" t="str">
        <f aca="false">v_nid</f>
        <v>1234567890</v>
      </c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46"/>
    </row>
    <row r="15" customFormat="false" ht="17.25" hidden="false" customHeight="true" outlineLevel="0" collapsed="false">
      <c r="A15" s="4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Y15" s="46"/>
    </row>
    <row r="16" customFormat="false" ht="16.5" hidden="false" customHeight="true" outlineLevel="0" collapsed="false">
      <c r="A16" s="45"/>
      <c r="C16" s="41" t="s">
        <v>1266</v>
      </c>
      <c r="D16" s="41" t="s">
        <v>1247</v>
      </c>
      <c r="P16" s="32"/>
      <c r="Q16" s="29"/>
      <c r="R16" s="47" t="str">
        <f aca="false">MID(v_tin,1,1)</f>
        <v>1</v>
      </c>
      <c r="S16" s="40"/>
      <c r="T16" s="29"/>
      <c r="U16" s="47" t="str">
        <f aca="false">MID(v_tin,2,1)</f>
        <v>1</v>
      </c>
      <c r="V16" s="40"/>
      <c r="W16" s="29"/>
      <c r="X16" s="47" t="str">
        <f aca="false">MID(v_tin,3,1)</f>
        <v>1</v>
      </c>
      <c r="Y16" s="40"/>
      <c r="Z16" s="29"/>
      <c r="AA16" s="47" t="str">
        <f aca="false">MID(v_tin,4,1)</f>
        <v>1</v>
      </c>
      <c r="AB16" s="40"/>
      <c r="AC16" s="29"/>
      <c r="AD16" s="47" t="str">
        <f aca="false">MID(v_tin,5,1)</f>
        <v>2</v>
      </c>
      <c r="AE16" s="40"/>
      <c r="AF16" s="29"/>
      <c r="AG16" s="47" t="str">
        <f aca="false">MID(v_tin,6,1)</f>
        <v>2</v>
      </c>
      <c r="AH16" s="40"/>
      <c r="AI16" s="29"/>
      <c r="AJ16" s="47" t="str">
        <f aca="false">MID(v_tin,7,1)</f>
        <v>2</v>
      </c>
      <c r="AK16" s="29"/>
      <c r="AL16" s="40"/>
      <c r="AM16" s="29"/>
      <c r="AN16" s="29"/>
      <c r="AO16" s="29"/>
      <c r="AP16" s="47" t="str">
        <f aca="false">MID(v_tin,8,1)</f>
        <v>2</v>
      </c>
      <c r="AQ16" s="29"/>
      <c r="AR16" s="29"/>
      <c r="AS16" s="40"/>
      <c r="AT16" s="29"/>
      <c r="AU16" s="29"/>
      <c r="AV16" s="47" t="str">
        <f aca="false">MID(v_tin,9,1)</f>
        <v>3</v>
      </c>
      <c r="AW16" s="40"/>
      <c r="AX16" s="29"/>
      <c r="AY16" s="29"/>
      <c r="AZ16" s="29"/>
      <c r="BA16" s="47" t="str">
        <f aca="false">MID(v_tin,10,1)</f>
        <v>3</v>
      </c>
      <c r="BB16" s="40"/>
      <c r="BC16" s="29"/>
      <c r="BD16" s="47" t="str">
        <f aca="false">MID(v_tin,11,1)</f>
        <v>3</v>
      </c>
      <c r="BE16" s="40"/>
      <c r="BF16" s="29"/>
      <c r="BG16" s="29"/>
      <c r="BH16" s="47" t="str">
        <f aca="false">MID(v_tin,12,1)</f>
        <v>3</v>
      </c>
      <c r="BI16" s="40"/>
      <c r="BY16" s="46"/>
    </row>
    <row r="17" customFormat="false" ht="28.5" hidden="false" customHeight="true" outlineLevel="0" collapsed="false">
      <c r="A17" s="45"/>
      <c r="C17" s="41" t="s">
        <v>1267</v>
      </c>
      <c r="D17" s="41" t="s">
        <v>1268</v>
      </c>
      <c r="Q17" s="37" t="str">
        <f aca="false">v_circle</f>
        <v>000</v>
      </c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41" t="s">
        <v>1269</v>
      </c>
      <c r="BG17" s="37" t="str">
        <f aca="false">v_zone</f>
        <v>Cumilla</v>
      </c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46"/>
    </row>
    <row r="18" customFormat="false" ht="15" hidden="false" customHeight="true" outlineLevel="0" collapsed="false">
      <c r="A18" s="45"/>
      <c r="BM18" s="29"/>
      <c r="BN18" s="29"/>
      <c r="BO18" s="29"/>
      <c r="BP18" s="29"/>
      <c r="BQ18" s="29"/>
      <c r="BU18" s="29"/>
      <c r="BV18" s="29"/>
      <c r="BW18" s="29"/>
      <c r="BY18" s="46"/>
    </row>
    <row r="19" customFormat="false" ht="14.25" hidden="false" customHeight="true" outlineLevel="0" collapsed="false">
      <c r="A19" s="45"/>
      <c r="C19" s="41" t="s">
        <v>1270</v>
      </c>
      <c r="D19" s="41" t="s">
        <v>1271</v>
      </c>
      <c r="W19" s="37" t="str">
        <f aca="false">v_ay</f>
        <v>2026-2027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Q19" s="41" t="s">
        <v>1272</v>
      </c>
      <c r="BK19" s="41" t="s">
        <v>449</v>
      </c>
      <c r="BL19" s="32"/>
      <c r="BM19" s="29"/>
      <c r="BN19" s="48" t="str">
        <f aca="false">IF(v_resident,"✔","")</f>
        <v>✔</v>
      </c>
      <c r="BO19" s="29"/>
      <c r="BP19" s="29"/>
      <c r="BQ19" s="40"/>
      <c r="BS19" s="41" t="s">
        <v>451</v>
      </c>
      <c r="BT19" s="32"/>
      <c r="BU19" s="29"/>
      <c r="BV19" s="48" t="str">
        <f aca="false">IF(v_nonresident,"✔","")</f>
        <v/>
      </c>
      <c r="BW19" s="40"/>
      <c r="BY19" s="46"/>
    </row>
    <row r="20" customFormat="false" ht="41.25" hidden="false" customHeight="true" outlineLevel="0" collapsed="false">
      <c r="A20" s="45"/>
      <c r="C20" s="41" t="s">
        <v>1273</v>
      </c>
      <c r="D20" s="41" t="s">
        <v>1274</v>
      </c>
      <c r="BY20" s="46"/>
    </row>
    <row r="21" customFormat="false" ht="14.25" hidden="false" customHeight="true" outlineLevel="0" collapsed="false">
      <c r="A21" s="45"/>
      <c r="AI21" s="29"/>
      <c r="AJ21" s="29"/>
      <c r="AK21" s="29"/>
      <c r="AL21" s="29"/>
      <c r="BC21" s="29"/>
      <c r="BD21" s="29"/>
      <c r="BE21" s="29"/>
      <c r="BM21" s="29"/>
      <c r="BN21" s="29"/>
      <c r="BO21" s="29"/>
      <c r="BP21" s="29"/>
      <c r="BQ21" s="29"/>
      <c r="BU21" s="29"/>
      <c r="BV21" s="29"/>
      <c r="BW21" s="29"/>
      <c r="BY21" s="46"/>
    </row>
    <row r="22" customFormat="false" ht="14.25" hidden="false" customHeight="true" outlineLevel="0" collapsed="false">
      <c r="A22" s="45"/>
      <c r="D22" s="41" t="s">
        <v>1275</v>
      </c>
      <c r="AH22" s="32"/>
      <c r="AI22" s="29"/>
      <c r="AJ22" s="48" t="str">
        <f aca="false">IF(v_box_ff,"✔","")</f>
        <v/>
      </c>
      <c r="AK22" s="29"/>
      <c r="AL22" s="40"/>
      <c r="AT22" s="41" t="s">
        <v>43</v>
      </c>
      <c r="BB22" s="32"/>
      <c r="BC22" s="29"/>
      <c r="BD22" s="48" t="str">
        <f aca="false">IF(v_box_female,"✔","")</f>
        <v/>
      </c>
      <c r="BE22" s="40"/>
      <c r="BJ22" s="49" t="s">
        <v>1276</v>
      </c>
      <c r="BL22" s="32"/>
      <c r="BM22" s="29"/>
      <c r="BN22" s="29"/>
      <c r="BO22" s="29"/>
      <c r="BP22" s="48" t="str">
        <f aca="false">IF(v_box_third,"✔","")</f>
        <v/>
      </c>
      <c r="BQ22" s="40"/>
      <c r="BR22" s="41" t="s">
        <v>1277</v>
      </c>
      <c r="BT22" s="32"/>
      <c r="BU22" s="29"/>
      <c r="BV22" s="48" t="str">
        <f aca="false">IF(v_box_disabled,"✔","")</f>
        <v/>
      </c>
      <c r="BW22" s="40"/>
      <c r="BY22" s="46"/>
    </row>
    <row r="23" customFormat="false" ht="6.75" hidden="false" customHeight="true" outlineLevel="0" collapsed="false">
      <c r="A23" s="45"/>
      <c r="AI23" s="29"/>
      <c r="AJ23" s="29"/>
      <c r="AK23" s="29"/>
      <c r="AL23" s="29"/>
      <c r="BU23" s="29"/>
      <c r="BV23" s="29"/>
      <c r="BW23" s="29"/>
      <c r="BY23" s="46"/>
    </row>
    <row r="24" customFormat="false" ht="14.25" hidden="false" customHeight="true" outlineLevel="0" collapsed="false">
      <c r="A24" s="45"/>
      <c r="D24" s="41" t="s">
        <v>1278</v>
      </c>
      <c r="AH24" s="32"/>
      <c r="AI24" s="29"/>
      <c r="AJ24" s="48" t="str">
        <f aca="false">IF(v_box_65,"✔","")</f>
        <v/>
      </c>
      <c r="AK24" s="29"/>
      <c r="AL24" s="40"/>
      <c r="AT24" s="41" t="s">
        <v>1279</v>
      </c>
      <c r="BT24" s="32"/>
      <c r="BU24" s="29"/>
      <c r="BV24" s="48" t="str">
        <f aca="false">IF(v_box_parent,"✔","")</f>
        <v/>
      </c>
      <c r="BW24" s="40"/>
      <c r="BY24" s="46"/>
    </row>
    <row r="25" customFormat="false" ht="14.25" hidden="false" customHeight="true" outlineLevel="0" collapsed="false">
      <c r="A25" s="45"/>
      <c r="BY25" s="46"/>
    </row>
    <row r="26" customFormat="false" ht="13.5" hidden="false" customHeight="true" outlineLevel="0" collapsed="false">
      <c r="A26" s="45"/>
      <c r="C26" s="41" t="s">
        <v>1280</v>
      </c>
      <c r="D26" s="41" t="s">
        <v>1281</v>
      </c>
      <c r="AU26" s="41" t="s">
        <v>1282</v>
      </c>
      <c r="AX26" s="41" t="s">
        <v>1283</v>
      </c>
      <c r="BL26" s="50" t="str">
        <f aca="false">v_spouse_name</f>
        <v/>
      </c>
      <c r="BM26" s="50"/>
      <c r="BN26" s="50"/>
      <c r="BO26" s="50"/>
      <c r="BP26" s="50"/>
      <c r="BQ26" s="50"/>
      <c r="BR26" s="50"/>
      <c r="BS26" s="50"/>
      <c r="BT26" s="50"/>
      <c r="BU26" s="50"/>
      <c r="BV26" s="50"/>
      <c r="BW26" s="50"/>
      <c r="BX26" s="50"/>
      <c r="BY26" s="51"/>
    </row>
    <row r="27" customFormat="false" ht="6.75" hidden="false" customHeight="true" outlineLevel="0" collapsed="false">
      <c r="A27" s="45"/>
      <c r="D27" s="29"/>
      <c r="E27" s="29"/>
      <c r="F27" s="29"/>
      <c r="G27" s="29"/>
      <c r="H27" s="29"/>
      <c r="I27" s="29"/>
      <c r="J27" s="29"/>
      <c r="M27" s="29"/>
      <c r="N27" s="29"/>
      <c r="O27" s="29"/>
      <c r="P27" s="29"/>
      <c r="Q27" s="29"/>
      <c r="R27" s="29"/>
      <c r="S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BY27" s="46"/>
    </row>
    <row r="28" customFormat="false" ht="15" hidden="false" customHeight="true" outlineLevel="0" collapsed="false">
      <c r="A28" s="45"/>
      <c r="C28" s="32"/>
      <c r="D28" s="29"/>
      <c r="E28" s="29"/>
      <c r="F28" s="47" t="str">
        <f aca="false">MID(v_dob_digits,1,1)</f>
        <v>0</v>
      </c>
      <c r="G28" s="40"/>
      <c r="H28" s="29"/>
      <c r="I28" s="47" t="str">
        <f aca="false">MID(v_dob_digits,2,1)</f>
        <v>1</v>
      </c>
      <c r="J28" s="40"/>
      <c r="L28" s="32"/>
      <c r="M28" s="29"/>
      <c r="N28" s="29"/>
      <c r="O28" s="47" t="str">
        <f aca="false">MID(v_dob_digits,3,1)</f>
        <v>0</v>
      </c>
      <c r="P28" s="40"/>
      <c r="Q28" s="29"/>
      <c r="R28" s="47" t="str">
        <f aca="false">MID(v_dob_digits,4,1)</f>
        <v>1</v>
      </c>
      <c r="S28" s="40"/>
      <c r="V28" s="32"/>
      <c r="W28" s="29"/>
      <c r="X28" s="47" t="str">
        <f aca="false">MID(v_dob_digits,5,1)</f>
        <v>1</v>
      </c>
      <c r="Y28" s="40"/>
      <c r="Z28" s="29"/>
      <c r="AA28" s="47" t="str">
        <f aca="false">MID(v_dob_digits,6,1)</f>
        <v>9</v>
      </c>
      <c r="AB28" s="40"/>
      <c r="AC28" s="29"/>
      <c r="AD28" s="47" t="str">
        <f aca="false">MID(v_dob_digits,7,1)</f>
        <v>7</v>
      </c>
      <c r="AE28" s="40"/>
      <c r="AF28" s="29"/>
      <c r="AG28" s="47" t="str">
        <f aca="false">MID(v_dob_digits,8,1)</f>
        <v>0</v>
      </c>
      <c r="AH28" s="40"/>
      <c r="AX28" s="41" t="s">
        <v>1284</v>
      </c>
      <c r="BR28" s="50" t="str">
        <f aca="false">v_spouse_tin</f>
        <v/>
      </c>
      <c r="BS28" s="50"/>
      <c r="BT28" s="50"/>
      <c r="BU28" s="50"/>
      <c r="BV28" s="50"/>
      <c r="BW28" s="50"/>
      <c r="BX28" s="50"/>
      <c r="BY28" s="51"/>
    </row>
    <row r="29" customFormat="false" ht="13.5" hidden="false" customHeight="true" outlineLevel="0" collapsed="false">
      <c r="A29" s="45"/>
      <c r="BY29" s="46"/>
    </row>
    <row r="30" customFormat="false" ht="14.25" hidden="false" customHeight="true" outlineLevel="0" collapsed="false">
      <c r="A30" s="45"/>
      <c r="B30" s="41" t="s">
        <v>1285</v>
      </c>
      <c r="D30" s="41" t="s">
        <v>1286</v>
      </c>
      <c r="N30" s="52" t="str">
        <f aca="false">v_address</f>
        <v>Village A, Upazila B, District C</v>
      </c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46"/>
    </row>
    <row r="31" customFormat="false" ht="25.5" hidden="false" customHeight="true" outlineLevel="0" collapsed="false">
      <c r="A31" s="45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46"/>
    </row>
    <row r="32" customFormat="false" ht="5.25" hidden="false" customHeight="true" outlineLevel="0" collapsed="false">
      <c r="A32" s="45"/>
      <c r="BY32" s="46"/>
    </row>
    <row r="33" customFormat="false" ht="14.25" hidden="false" customHeight="true" outlineLevel="0" collapsed="false">
      <c r="A33" s="45"/>
      <c r="D33" s="41" t="s">
        <v>1287</v>
      </c>
      <c r="Q33" s="50" t="str">
        <f aca="false">v_telephone</f>
        <v/>
      </c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T33" s="41" t="s">
        <v>1288</v>
      </c>
      <c r="BC33" s="50" t="str">
        <f aca="false">v_mobile</f>
        <v/>
      </c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50"/>
      <c r="BQ33" s="50"/>
      <c r="BY33" s="46"/>
    </row>
    <row r="34" customFormat="false" ht="3" hidden="false" customHeight="true" outlineLevel="0" collapsed="false">
      <c r="A34" s="45"/>
      <c r="BY34" s="46"/>
    </row>
    <row r="35" customFormat="false" ht="14.25" hidden="false" customHeight="true" outlineLevel="0" collapsed="false">
      <c r="A35" s="45"/>
      <c r="D35" s="41" t="s">
        <v>1289</v>
      </c>
      <c r="M35" s="50" t="str">
        <f aca="false">v_email</f>
        <v/>
      </c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BY35" s="46"/>
    </row>
    <row r="36" customFormat="false" ht="27" hidden="false" customHeight="true" outlineLevel="0" collapsed="false">
      <c r="A36" s="45"/>
      <c r="B36" s="41" t="s">
        <v>1290</v>
      </c>
      <c r="D36" s="41" t="s">
        <v>1291</v>
      </c>
      <c r="BY36" s="46"/>
    </row>
    <row r="37" customFormat="false" ht="13.5" hidden="false" customHeight="true" outlineLevel="0" collapsed="false">
      <c r="A37" s="45"/>
      <c r="E37" s="41" t="s">
        <v>1292</v>
      </c>
      <c r="BY37" s="46"/>
    </row>
    <row r="38" customFormat="false" ht="13.5" hidden="false" customHeight="true" outlineLevel="0" collapsed="false">
      <c r="A38" s="45"/>
      <c r="AY38" s="53" t="str">
        <f aca="false">v_employer</f>
        <v>Upazila Health Complex</v>
      </c>
      <c r="BY38" s="46"/>
    </row>
    <row r="39" customFormat="false" ht="15" hidden="false" customHeight="true" outlineLevel="0" collapsed="false">
      <c r="A39" s="45"/>
      <c r="BY39" s="46"/>
    </row>
    <row r="40" customFormat="false" ht="14.25" hidden="false" customHeight="true" outlineLevel="0" collapsed="false">
      <c r="A40" s="45"/>
      <c r="B40" s="41" t="s">
        <v>1293</v>
      </c>
      <c r="D40" s="41" t="s">
        <v>1294</v>
      </c>
      <c r="Z40" s="50" t="str">
        <f aca="false">v_organization</f>
        <v/>
      </c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1"/>
    </row>
    <row r="41" customFormat="false" ht="7.5" hidden="false" customHeight="true" outlineLevel="0" collapsed="false">
      <c r="A41" s="45"/>
      <c r="BY41" s="46"/>
    </row>
    <row r="42" customFormat="false" ht="13.5" hidden="false" customHeight="true" outlineLevel="0" collapsed="false">
      <c r="A42" s="45"/>
      <c r="D42" s="41" t="s">
        <v>1295</v>
      </c>
      <c r="AI42" s="50" t="str">
        <f aca="false">v_bin</f>
        <v/>
      </c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1"/>
    </row>
    <row r="43" customFormat="false" ht="27.75" hidden="false" customHeight="true" outlineLevel="0" collapsed="false">
      <c r="A43" s="45"/>
      <c r="B43" s="41" t="s">
        <v>1296</v>
      </c>
      <c r="D43" s="41" t="s">
        <v>1297</v>
      </c>
      <c r="BY43" s="46"/>
    </row>
    <row r="44" customFormat="false" ht="39" hidden="false" customHeight="true" outlineLevel="0" collapsed="false">
      <c r="A44" s="45"/>
      <c r="D44" s="54" t="str">
        <f aca="false">v_partners</f>
        <v/>
      </c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1"/>
    </row>
    <row r="45" customFormat="false" ht="3" hidden="false" customHeight="true" outlineLevel="0" collapsed="false">
      <c r="A45" s="4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1"/>
    </row>
    <row r="46" customFormat="false" ht="33" hidden="false" customHeight="true" outlineLevel="0" collapsed="false">
      <c r="A46" s="56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57" t="s">
        <v>1298</v>
      </c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58"/>
    </row>
    <row r="47" customFormat="false" ht="2.25" hidden="false" customHeight="true" outlineLevel="0" collapsed="false"/>
  </sheetData>
  <sheetProtection sheet="true"/>
  <mergeCells count="14">
    <mergeCell ref="W13:BX13"/>
    <mergeCell ref="BF14:BX14"/>
    <mergeCell ref="Q17:AL17"/>
    <mergeCell ref="BG17:BX17"/>
    <mergeCell ref="W19:AN19"/>
    <mergeCell ref="BL26:BX26"/>
    <mergeCell ref="BR28:BX28"/>
    <mergeCell ref="N30:BX31"/>
    <mergeCell ref="Q33:AL33"/>
    <mergeCell ref="BC33:BQ33"/>
    <mergeCell ref="M35:AL35"/>
    <mergeCell ref="Z40:BX40"/>
    <mergeCell ref="AI42:BX42"/>
    <mergeCell ref="D44:BX44"/>
  </mergeCells>
  <printOptions headings="false" gridLines="false" gridLinesSet="true" horizontalCentered="false" verticalCentered="false"/>
  <pageMargins left="0.463194444444444" right="0.360416666666667" top="1.04305555555556" bottom="1.00763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2" min="1" style="0" width="0.37"/>
    <col collapsed="false" customWidth="true" hidden="false" outlineLevel="0" max="3" min="3" style="0" width="2.25"/>
    <col collapsed="false" customWidth="true" hidden="false" outlineLevel="0" max="4" min="4" style="0" width="0.5"/>
    <col collapsed="false" customWidth="true" hidden="false" outlineLevel="0" max="5" min="5" style="0" width="16.63"/>
    <col collapsed="false" customWidth="true" hidden="false" outlineLevel="0" max="6" min="6" style="0" width="19.5"/>
    <col collapsed="false" customWidth="true" hidden="false" outlineLevel="0" max="7" min="7" style="0" width="2.13"/>
    <col collapsed="false" customWidth="true" hidden="false" outlineLevel="0" max="8" min="8" style="0" width="6.25"/>
    <col collapsed="false" customWidth="true" hidden="false" outlineLevel="0" max="9" min="9" style="0" width="1.37"/>
    <col collapsed="false" customWidth="true" hidden="false" outlineLevel="0" max="10" min="10" style="0" width="0.37"/>
    <col collapsed="false" customWidth="true" hidden="false" outlineLevel="0" max="12" min="11" style="0" width="1.37"/>
    <col collapsed="false" customWidth="true" hidden="false" outlineLevel="0" max="13" min="13" style="0" width="0.37"/>
    <col collapsed="false" customWidth="true" hidden="false" outlineLevel="0" max="14" min="14" style="0" width="1.25"/>
    <col collapsed="false" customWidth="true" hidden="false" outlineLevel="0" max="15" min="15" style="0" width="1.5"/>
    <col collapsed="false" customWidth="true" hidden="false" outlineLevel="0" max="16" min="16" style="0" width="0.37"/>
    <col collapsed="false" customWidth="true" hidden="false" outlineLevel="0" max="17" min="17" style="0" width="1.25"/>
    <col collapsed="false" customWidth="true" hidden="false" outlineLevel="0" max="18" min="18" style="0" width="1.75"/>
    <col collapsed="false" customWidth="true" hidden="false" outlineLevel="0" max="20" min="19" style="0" width="0.37"/>
    <col collapsed="false" customWidth="true" hidden="false" outlineLevel="0" max="21" min="21" style="0" width="1.25"/>
    <col collapsed="false" customWidth="true" hidden="false" outlineLevel="0" max="22" min="22" style="0" width="1.5"/>
    <col collapsed="false" customWidth="true" hidden="false" outlineLevel="0" max="23" min="23" style="0" width="0.25"/>
    <col collapsed="false" customWidth="true" hidden="false" outlineLevel="0" max="24" min="24" style="0" width="1.37"/>
    <col collapsed="false" customWidth="true" hidden="false" outlineLevel="0" max="25" min="25" style="0" width="1.25"/>
    <col collapsed="false" customWidth="true" hidden="false" outlineLevel="0" max="26" min="26" style="0" width="0.62"/>
    <col collapsed="false" customWidth="true" hidden="false" outlineLevel="0" max="27" min="27" style="0" width="0.25"/>
    <col collapsed="false" customWidth="true" hidden="false" outlineLevel="0" max="28" min="28" style="0" width="1"/>
    <col collapsed="false" customWidth="true" hidden="false" outlineLevel="0" max="29" min="29" style="0" width="0.75"/>
    <col collapsed="false" customWidth="true" hidden="false" outlineLevel="0" max="30" min="30" style="0" width="1.63"/>
    <col collapsed="false" customWidth="true" hidden="false" outlineLevel="0" max="31" min="31" style="0" width="0.25"/>
    <col collapsed="false" customWidth="true" hidden="false" outlineLevel="0" max="33" min="32" style="0" width="1.37"/>
    <col collapsed="false" customWidth="true" hidden="false" outlineLevel="0" max="34" min="34" style="0" width="0.37"/>
    <col collapsed="false" customWidth="true" hidden="false" outlineLevel="0" max="36" min="35" style="0" width="1.37"/>
    <col collapsed="false" customWidth="true" hidden="false" outlineLevel="0" max="37" min="37" style="0" width="0.37"/>
    <col collapsed="false" customWidth="true" hidden="false" outlineLevel="0" max="39" min="38" style="0" width="0.25"/>
    <col collapsed="false" customWidth="true" hidden="false" outlineLevel="0" max="40" min="40" style="0" width="0.75"/>
    <col collapsed="false" customWidth="true" hidden="false" outlineLevel="0" max="41" min="41" style="0" width="2"/>
    <col collapsed="false" customWidth="true" hidden="false" outlineLevel="0" max="42" min="42" style="0" width="0.37"/>
    <col collapsed="false" customWidth="true" hidden="false" outlineLevel="0" max="43" min="43" style="0" width="1.75"/>
    <col collapsed="false" customWidth="true" hidden="false" outlineLevel="0" max="44" min="44" style="0" width="1.5"/>
    <col collapsed="false" customWidth="true" hidden="false" outlineLevel="0" max="45" min="45" style="0" width="0.37"/>
    <col collapsed="false" customWidth="true" hidden="false" outlineLevel="0" max="47" min="46" style="0" width="0.62"/>
    <col collapsed="false" customWidth="true" hidden="false" outlineLevel="0" max="48" min="48" style="0" width="1.63"/>
    <col collapsed="false" customWidth="true" hidden="false" outlineLevel="0" max="49" min="49" style="0" width="0.37"/>
    <col collapsed="false" customWidth="true" hidden="false" outlineLevel="0" max="50" min="50" style="0" width="1.5"/>
    <col collapsed="false" customWidth="true" hidden="false" outlineLevel="0" max="51" min="51" style="0" width="0.25"/>
  </cols>
  <sheetData>
    <row r="1" customFormat="false" ht="14.25" hidden="false" customHeight="true" outlineLevel="0" collapsed="false">
      <c r="A1" s="33" t="s">
        <v>1299</v>
      </c>
      <c r="AC1" s="37" t="str">
        <f aca="false">v_iy_end_mdy</f>
        <v>6/30/2026</v>
      </c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</row>
    <row r="2" customFormat="false" ht="21.75" hidden="false" customHeight="true" outlineLevel="0" collapsed="false">
      <c r="A2" s="33" t="s">
        <v>1245</v>
      </c>
      <c r="F2" s="37" t="str">
        <f aca="false">v_name</f>
        <v>Sample Taxpayer</v>
      </c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</row>
    <row r="3" customFormat="false" ht="15.75" hidden="false" customHeight="true" outlineLevel="0" collapsed="false">
      <c r="H3" s="59" t="s">
        <v>1247</v>
      </c>
      <c r="I3" s="60"/>
      <c r="J3" s="61" t="str">
        <f aca="false">MID(v_tin,1,1)</f>
        <v>1</v>
      </c>
      <c r="K3" s="62"/>
      <c r="L3" s="60"/>
      <c r="M3" s="61" t="str">
        <f aca="false">MID(v_tin,2,1)</f>
        <v>1</v>
      </c>
      <c r="N3" s="62"/>
      <c r="O3" s="60"/>
      <c r="P3" s="61" t="str">
        <f aca="false">MID(v_tin,3,1)</f>
        <v>1</v>
      </c>
      <c r="Q3" s="62"/>
      <c r="R3" s="60"/>
      <c r="S3" s="61" t="str">
        <f aca="false">MID(v_tin,4,1)</f>
        <v>1</v>
      </c>
      <c r="T3" s="60"/>
      <c r="U3" s="62"/>
      <c r="V3" s="60"/>
      <c r="W3" s="61" t="str">
        <f aca="false">MID(v_tin,5,1)</f>
        <v>2</v>
      </c>
      <c r="X3" s="62"/>
      <c r="Y3" s="60"/>
      <c r="Z3" s="60"/>
      <c r="AA3" s="61" t="str">
        <f aca="false">MID(v_tin,6,1)</f>
        <v>2</v>
      </c>
      <c r="AB3" s="60"/>
      <c r="AC3" s="62"/>
      <c r="AD3" s="60"/>
      <c r="AE3" s="61" t="str">
        <f aca="false">MID(v_tin,7,1)</f>
        <v>2</v>
      </c>
      <c r="AF3" s="62"/>
      <c r="AG3" s="60"/>
      <c r="AH3" s="61" t="str">
        <f aca="false">MID(v_tin,8,1)</f>
        <v>2</v>
      </c>
      <c r="AI3" s="62"/>
      <c r="AJ3" s="60"/>
      <c r="AK3" s="61" t="str">
        <f aca="false">MID(v_tin,9,1)</f>
        <v>3</v>
      </c>
      <c r="AL3" s="60"/>
      <c r="AM3" s="60"/>
      <c r="AN3" s="62"/>
      <c r="AO3" s="60"/>
      <c r="AP3" s="61" t="str">
        <f aca="false">MID(v_tin,10,1)</f>
        <v>3</v>
      </c>
      <c r="AQ3" s="62"/>
      <c r="AR3" s="60"/>
      <c r="AS3" s="61" t="str">
        <f aca="false">MID(v_tin,11,1)</f>
        <v>3</v>
      </c>
      <c r="AT3" s="60"/>
      <c r="AU3" s="62"/>
      <c r="AV3" s="60"/>
      <c r="AW3" s="61" t="str">
        <f aca="false">MID(v_tin,12,1)</f>
        <v>3</v>
      </c>
      <c r="AX3" s="62"/>
    </row>
    <row r="4" customFormat="false" ht="22.5" hidden="false" customHeight="true" outlineLevel="0" collapsed="false">
      <c r="A4" s="33" t="s">
        <v>1300</v>
      </c>
      <c r="AN4" s="33" t="s">
        <v>214</v>
      </c>
      <c r="AU4" s="33" t="s">
        <v>1251</v>
      </c>
    </row>
    <row r="5" customFormat="false" ht="15" hidden="false" customHeight="tru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</row>
    <row r="6" customFormat="false" ht="17.25" hidden="false" customHeight="true" outlineLevel="0" collapsed="false">
      <c r="A6" s="31"/>
      <c r="C6" s="63" t="s">
        <v>1264</v>
      </c>
      <c r="D6" s="41" t="s">
        <v>1301</v>
      </c>
      <c r="Z6" s="64" t="s">
        <v>1302</v>
      </c>
      <c r="AF6" s="32"/>
      <c r="AN6" s="65" t="n">
        <f aca="false">v_r1</f>
        <v>515808</v>
      </c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31"/>
    </row>
    <row r="7" customFormat="false" ht="4.5" hidden="false" customHeight="true" outlineLevel="0" collapsed="false">
      <c r="A7" s="43"/>
      <c r="B7" s="29"/>
      <c r="C7" s="40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40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40"/>
    </row>
    <row r="8" customFormat="false" ht="17.25" hidden="false" customHeight="true" outlineLevel="0" collapsed="false">
      <c r="A8" s="31"/>
      <c r="C8" s="63" t="s">
        <v>1265</v>
      </c>
      <c r="D8" s="41" t="s">
        <v>1303</v>
      </c>
      <c r="Z8" s="64" t="s">
        <v>1304</v>
      </c>
      <c r="AF8" s="32"/>
      <c r="AN8" s="65" t="n">
        <f aca="false">v_r2</f>
        <v>296250</v>
      </c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31"/>
    </row>
    <row r="9" customFormat="false" ht="4.5" hidden="false" customHeight="true" outlineLevel="0" collapsed="false">
      <c r="A9" s="43"/>
      <c r="B9" s="29"/>
      <c r="C9" s="40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40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40"/>
    </row>
    <row r="10" customFormat="false" ht="18" hidden="false" customHeight="true" outlineLevel="0" collapsed="false">
      <c r="A10" s="31"/>
      <c r="C10" s="63" t="s">
        <v>1266</v>
      </c>
      <c r="D10" s="41" t="s">
        <v>1305</v>
      </c>
      <c r="Z10" s="64" t="s">
        <v>1306</v>
      </c>
      <c r="AF10" s="32"/>
      <c r="AN10" s="65" t="n">
        <f aca="false">v_r3</f>
        <v>0</v>
      </c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31"/>
    </row>
    <row r="11" customFormat="false" ht="4.5" hidden="false" customHeight="true" outlineLevel="0" collapsed="false">
      <c r="A11" s="43"/>
      <c r="B11" s="29"/>
      <c r="C11" s="40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40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40"/>
    </row>
    <row r="12" customFormat="false" ht="17.25" hidden="false" customHeight="true" outlineLevel="0" collapsed="false">
      <c r="A12" s="31"/>
      <c r="C12" s="63" t="s">
        <v>1267</v>
      </c>
      <c r="D12" s="41" t="s">
        <v>1307</v>
      </c>
      <c r="Z12" s="64" t="s">
        <v>1308</v>
      </c>
      <c r="AF12" s="32"/>
      <c r="AN12" s="65" t="n">
        <f aca="false">v_r4</f>
        <v>0</v>
      </c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31"/>
    </row>
    <row r="13" customFormat="false" ht="4.5" hidden="false" customHeight="true" outlineLevel="0" collapsed="false">
      <c r="A13" s="43"/>
      <c r="B13" s="29"/>
      <c r="C13" s="40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40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40"/>
    </row>
    <row r="14" customFormat="false" ht="18" hidden="false" customHeight="true" outlineLevel="0" collapsed="false">
      <c r="A14" s="31"/>
      <c r="C14" s="63" t="s">
        <v>1270</v>
      </c>
      <c r="D14" s="41" t="s">
        <v>143</v>
      </c>
      <c r="Z14" s="64" t="s">
        <v>1309</v>
      </c>
      <c r="AF14" s="32"/>
      <c r="AN14" s="65" t="n">
        <f aca="false">v_r5</f>
        <v>0</v>
      </c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31"/>
    </row>
    <row r="15" customFormat="false" ht="4.5" hidden="false" customHeight="true" outlineLevel="0" collapsed="false">
      <c r="A15" s="43"/>
      <c r="B15" s="29"/>
      <c r="C15" s="40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40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40"/>
    </row>
    <row r="16" customFormat="false" ht="17.25" hidden="false" customHeight="true" outlineLevel="0" collapsed="false">
      <c r="A16" s="31"/>
      <c r="C16" s="63" t="s">
        <v>1310</v>
      </c>
      <c r="D16" s="41" t="s">
        <v>1311</v>
      </c>
      <c r="Z16" s="64" t="s">
        <v>1312</v>
      </c>
      <c r="AF16" s="32"/>
      <c r="AN16" s="65" t="n">
        <f aca="false">v_r6</f>
        <v>0</v>
      </c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31"/>
    </row>
    <row r="17" customFormat="false" ht="4.5" hidden="false" customHeight="true" outlineLevel="0" collapsed="false">
      <c r="A17" s="43"/>
      <c r="B17" s="29"/>
      <c r="C17" s="40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40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40"/>
    </row>
    <row r="18" customFormat="false" ht="18" hidden="false" customHeight="true" outlineLevel="0" collapsed="false">
      <c r="A18" s="31"/>
      <c r="C18" s="63" t="s">
        <v>1273</v>
      </c>
      <c r="D18" s="49" t="s">
        <v>1313</v>
      </c>
      <c r="Z18" s="64" t="s">
        <v>1314</v>
      </c>
      <c r="AF18" s="32"/>
      <c r="AN18" s="65" t="str">
        <f aca="false">IF(N(v_r7)=0,"",v_r7)</f>
        <v/>
      </c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31"/>
    </row>
    <row r="19" customFormat="false" ht="4.5" hidden="false" customHeight="true" outlineLevel="0" collapsed="false">
      <c r="A19" s="43"/>
      <c r="B19" s="29"/>
      <c r="C19" s="40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40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40"/>
    </row>
    <row r="20" customFormat="false" ht="17.25" hidden="false" customHeight="true" outlineLevel="0" collapsed="false">
      <c r="A20" s="31"/>
      <c r="C20" s="63" t="s">
        <v>1280</v>
      </c>
      <c r="D20" s="41" t="s">
        <v>148</v>
      </c>
      <c r="AF20" s="32"/>
      <c r="AN20" s="65" t="n">
        <f aca="false">v_r8</f>
        <v>0</v>
      </c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31"/>
    </row>
    <row r="21" customFormat="false" ht="4.5" hidden="false" customHeight="true" outlineLevel="0" collapsed="false">
      <c r="A21" s="43"/>
      <c r="B21" s="29"/>
      <c r="C21" s="40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40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40"/>
    </row>
    <row r="22" customFormat="false" ht="17.25" hidden="false" customHeight="true" outlineLevel="0" collapsed="false">
      <c r="A22" s="31"/>
      <c r="C22" s="63" t="s">
        <v>1282</v>
      </c>
      <c r="D22" s="41" t="s">
        <v>1315</v>
      </c>
      <c r="Z22" s="64" t="s">
        <v>1316</v>
      </c>
      <c r="AF22" s="32"/>
      <c r="AN22" s="65" t="n">
        <f aca="false">v_r9</f>
        <v>0</v>
      </c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31"/>
    </row>
    <row r="23" customFormat="false" ht="5.25" hidden="false" customHeight="true" outlineLevel="0" collapsed="false">
      <c r="A23" s="43"/>
      <c r="B23" s="29"/>
      <c r="C23" s="40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40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40"/>
    </row>
    <row r="24" customFormat="false" ht="17.25" hidden="false" customHeight="true" outlineLevel="0" collapsed="false">
      <c r="A24" s="31"/>
      <c r="B24" s="41" t="s">
        <v>1285</v>
      </c>
      <c r="C24" s="32"/>
      <c r="E24" s="41" t="s">
        <v>150</v>
      </c>
      <c r="AF24" s="32"/>
      <c r="AN24" s="65" t="n">
        <f aca="false">v_r10</f>
        <v>0</v>
      </c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31"/>
    </row>
    <row r="25" customFormat="false" ht="4.5" hidden="false" customHeight="true" outlineLevel="0" collapsed="false">
      <c r="A25" s="43"/>
      <c r="B25" s="29"/>
      <c r="C25" s="40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40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40"/>
    </row>
    <row r="26" customFormat="false" ht="17.25" hidden="false" customHeight="true" outlineLevel="0" collapsed="false">
      <c r="A26" s="31"/>
      <c r="B26" s="41" t="s">
        <v>1290</v>
      </c>
      <c r="C26" s="32"/>
      <c r="D26" s="41" t="s">
        <v>1317</v>
      </c>
      <c r="AF26" s="32"/>
      <c r="AN26" s="65" t="n">
        <f aca="false">v_r11</f>
        <v>812058</v>
      </c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31"/>
    </row>
    <row r="27" customFormat="false" ht="5.25" hidden="false" customHeight="true" outlineLevel="0" collapsed="false">
      <c r="A27" s="43"/>
      <c r="B27" s="29"/>
      <c r="C27" s="40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40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40"/>
    </row>
    <row r="28" customFormat="false" ht="25.5" hidden="false" customHeight="true" outlineLevel="0" collapsed="false">
      <c r="A28" s="33" t="s">
        <v>1318</v>
      </c>
      <c r="AM28" s="33" t="s">
        <v>1319</v>
      </c>
    </row>
    <row r="29" customFormat="false" ht="9" hidden="false" customHeight="true" outlineLevel="0" collapsed="false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</row>
    <row r="30" customFormat="false" ht="17.25" hidden="false" customHeight="true" outlineLevel="0" collapsed="false">
      <c r="A30" s="31"/>
      <c r="B30" s="41" t="s">
        <v>1293</v>
      </c>
      <c r="C30" s="32"/>
      <c r="D30" s="41" t="s">
        <v>1320</v>
      </c>
      <c r="AF30" s="32"/>
      <c r="AN30" s="65" t="n">
        <f aca="false">v_r12</f>
        <v>36206</v>
      </c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31"/>
    </row>
    <row r="31" customFormat="false" ht="4.5" hidden="false" customHeight="true" outlineLevel="0" collapsed="false">
      <c r="A31" s="43"/>
      <c r="B31" s="29"/>
      <c r="C31" s="40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40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40"/>
    </row>
    <row r="32" customFormat="false" ht="17.25" hidden="false" customHeight="true" outlineLevel="0" collapsed="false">
      <c r="A32" s="31"/>
      <c r="B32" s="41" t="s">
        <v>1296</v>
      </c>
      <c r="C32" s="32"/>
      <c r="D32" s="41" t="s">
        <v>1321</v>
      </c>
      <c r="AF32" s="32"/>
      <c r="AN32" s="65" t="n">
        <f aca="false">v_r13</f>
        <v>0</v>
      </c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31"/>
    </row>
    <row r="33" customFormat="false" ht="4.5" hidden="false" customHeight="true" outlineLevel="0" collapsed="false">
      <c r="A33" s="43"/>
      <c r="B33" s="29"/>
      <c r="C33" s="40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40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40"/>
    </row>
    <row r="34" customFormat="false" ht="17.25" hidden="false" customHeight="true" outlineLevel="0" collapsed="false">
      <c r="A34" s="31"/>
      <c r="B34" s="41" t="s">
        <v>1322</v>
      </c>
      <c r="C34" s="32"/>
      <c r="D34" s="41" t="s">
        <v>1323</v>
      </c>
      <c r="AF34" s="32"/>
      <c r="AN34" s="65" t="n">
        <f aca="false">v_r14</f>
        <v>36206</v>
      </c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31"/>
    </row>
    <row r="35" customFormat="false" ht="5.25" hidden="false" customHeight="true" outlineLevel="0" collapsed="false">
      <c r="A35" s="43"/>
      <c r="B35" s="29"/>
      <c r="C35" s="40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40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40"/>
    </row>
    <row r="36" customFormat="false" ht="17.25" hidden="false" customHeight="true" outlineLevel="0" collapsed="false">
      <c r="A36" s="31"/>
      <c r="B36" s="41" t="s">
        <v>1324</v>
      </c>
      <c r="C36" s="32"/>
      <c r="D36" s="41" t="s">
        <v>328</v>
      </c>
      <c r="AF36" s="32"/>
      <c r="AN36" s="65" t="n">
        <f aca="false">v_r15</f>
        <v>5000</v>
      </c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31"/>
    </row>
    <row r="37" customFormat="false" ht="4.5" hidden="false" customHeight="true" outlineLevel="0" collapsed="false">
      <c r="A37" s="43"/>
      <c r="B37" s="29"/>
      <c r="C37" s="4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40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40"/>
    </row>
    <row r="38" customFormat="false" ht="17.25" hidden="false" customHeight="true" outlineLevel="0" collapsed="false">
      <c r="A38" s="31"/>
      <c r="B38" s="41" t="s">
        <v>1325</v>
      </c>
      <c r="C38" s="32"/>
      <c r="D38" s="41" t="s">
        <v>1326</v>
      </c>
      <c r="AF38" s="32"/>
      <c r="AN38" s="65" t="n">
        <f aca="false">v_r16</f>
        <v>36206</v>
      </c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31"/>
    </row>
    <row r="39" customFormat="false" ht="5.25" hidden="false" customHeight="true" outlineLevel="0" collapsed="false">
      <c r="A39" s="43"/>
      <c r="B39" s="29"/>
      <c r="C39" s="4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40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40"/>
    </row>
    <row r="40" customFormat="false" ht="17.25" hidden="false" customHeight="true" outlineLevel="0" collapsed="false">
      <c r="A40" s="31"/>
      <c r="C40" s="32"/>
      <c r="D40" s="41" t="s">
        <v>1327</v>
      </c>
      <c r="Q40" s="32"/>
      <c r="U40" s="65" t="n">
        <f aca="false">v_r17a</f>
        <v>0</v>
      </c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31"/>
      <c r="AX40" s="32"/>
    </row>
    <row r="41" customFormat="false" ht="4.5" hidden="false" customHeight="true" outlineLevel="0" collapsed="false">
      <c r="A41" s="31"/>
      <c r="B41" s="66" t="s">
        <v>1328</v>
      </c>
      <c r="C41" s="66"/>
      <c r="D41" s="43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40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40"/>
      <c r="AN41" s="65" t="n">
        <f aca="false">v_r17</f>
        <v>0</v>
      </c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31"/>
    </row>
    <row r="42" customFormat="false" ht="6" hidden="false" customHeight="true" outlineLevel="0" collapsed="false">
      <c r="A42" s="31"/>
      <c r="B42" s="66"/>
      <c r="C42" s="66"/>
      <c r="D42" s="31"/>
      <c r="Q42" s="32"/>
      <c r="AF42" s="32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31"/>
    </row>
    <row r="43" customFormat="false" ht="11.25" hidden="false" customHeight="true" outlineLevel="0" collapsed="false">
      <c r="A43" s="31"/>
      <c r="C43" s="32"/>
      <c r="D43" s="41" t="s">
        <v>1329</v>
      </c>
      <c r="Q43" s="32"/>
      <c r="U43" s="65" t="str">
        <f aca="false">IF(N(v_r17b)=0,"",v_r17b)</f>
        <v/>
      </c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31"/>
      <c r="AX43" s="32"/>
    </row>
    <row r="44" customFormat="false" ht="5.25" hidden="false" customHeight="true" outlineLevel="0" collapsed="false">
      <c r="A44" s="43"/>
      <c r="B44" s="29"/>
      <c r="C44" s="4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40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40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40"/>
    </row>
    <row r="45" customFormat="false" ht="17.25" hidden="false" customHeight="true" outlineLevel="0" collapsed="false">
      <c r="A45" s="31"/>
      <c r="B45" s="41" t="s">
        <v>1330</v>
      </c>
      <c r="C45" s="32"/>
      <c r="D45" s="41" t="s">
        <v>1331</v>
      </c>
      <c r="AF45" s="32"/>
      <c r="AN45" s="65" t="n">
        <f aca="false">v_r18</f>
        <v>0</v>
      </c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31"/>
    </row>
    <row r="46" customFormat="false" ht="4.5" hidden="false" customHeight="true" outlineLevel="0" collapsed="false">
      <c r="A46" s="43"/>
      <c r="B46" s="29"/>
      <c r="C46" s="4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40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40"/>
    </row>
    <row r="47" customFormat="false" ht="17.25" hidden="false" customHeight="true" outlineLevel="0" collapsed="false">
      <c r="A47" s="31"/>
      <c r="B47" s="41" t="s">
        <v>1332</v>
      </c>
      <c r="C47" s="32"/>
      <c r="D47" s="33" t="s">
        <v>1333</v>
      </c>
      <c r="AF47" s="32"/>
      <c r="AN47" s="67" t="n">
        <f aca="false">v_r19</f>
        <v>36206</v>
      </c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31"/>
    </row>
    <row r="48" customFormat="false" ht="5.25" hidden="false" customHeight="true" outlineLevel="0" collapsed="false">
      <c r="A48" s="43"/>
      <c r="B48" s="29"/>
      <c r="C48" s="4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40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40"/>
    </row>
    <row r="49" customFormat="false" ht="59.25" hidden="false" customHeight="true" outlineLevel="0" collapsed="false"/>
    <row r="50" customFormat="false" ht="17.25" hidden="false" customHeight="true" outlineLevel="0" collapsed="false">
      <c r="A50" s="45"/>
      <c r="G50" s="33" t="s">
        <v>1334</v>
      </c>
      <c r="AX50" s="46"/>
    </row>
    <row r="51" customFormat="false" ht="3.75" hidden="false" customHeight="true" outlineLevel="0" collapsed="false">
      <c r="A51" s="56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58"/>
    </row>
    <row r="52" customFormat="false" ht="2.25" hidden="false" customHeight="true" outlineLevel="0" collapsed="false"/>
  </sheetData>
  <sheetProtection sheet="true"/>
  <mergeCells count="24">
    <mergeCell ref="AC1:AR1"/>
    <mergeCell ref="F2:AX2"/>
    <mergeCell ref="AN6:AX6"/>
    <mergeCell ref="AN8:AX8"/>
    <mergeCell ref="AN10:AX10"/>
    <mergeCell ref="AN12:AX12"/>
    <mergeCell ref="AN14:AX14"/>
    <mergeCell ref="AN16:AX16"/>
    <mergeCell ref="AN18:AX18"/>
    <mergeCell ref="AN20:AX20"/>
    <mergeCell ref="AN22:AX22"/>
    <mergeCell ref="AN24:AX24"/>
    <mergeCell ref="AN26:AX26"/>
    <mergeCell ref="AN30:AX30"/>
    <mergeCell ref="AN32:AX32"/>
    <mergeCell ref="AN34:AX34"/>
    <mergeCell ref="AN36:AX36"/>
    <mergeCell ref="AN38:AX38"/>
    <mergeCell ref="U40:AF40"/>
    <mergeCell ref="B41:C42"/>
    <mergeCell ref="AN41:AX42"/>
    <mergeCell ref="U43:AF43"/>
    <mergeCell ref="AN45:AX45"/>
    <mergeCell ref="AN47:AX47"/>
  </mergeCells>
  <printOptions headings="false" gridLines="false" gridLinesSet="true" horizontalCentered="false" verticalCentered="false"/>
  <pageMargins left="0.463194444444444" right="0.361111111111111" top="1.24652777777778" bottom="1.366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0.37"/>
    <col collapsed="false" customWidth="true" hidden="false" outlineLevel="0" max="2" min="2" style="0" width="2.63"/>
    <col collapsed="false" customWidth="true" hidden="false" outlineLevel="0" max="3" min="3" style="0" width="0.5"/>
    <col collapsed="false" customWidth="true" hidden="false" outlineLevel="0" max="4" min="4" style="0" width="2.63"/>
    <col collapsed="false" customWidth="true" hidden="false" outlineLevel="0" max="5" min="5" style="0" width="2.38"/>
    <col collapsed="false" customWidth="true" hidden="false" outlineLevel="0" max="6" min="6" style="0" width="0.75"/>
    <col collapsed="false" customWidth="true" hidden="false" outlineLevel="0" max="7" min="7" style="0" width="2.25"/>
    <col collapsed="false" customWidth="true" hidden="false" outlineLevel="0" max="8" min="8" style="0" width="0.25"/>
    <col collapsed="false" customWidth="true" hidden="false" outlineLevel="0" max="9" min="9" style="0" width="2.13"/>
    <col collapsed="false" customWidth="true" hidden="false" outlineLevel="0" max="10" min="10" style="0" width="1.5"/>
    <col collapsed="false" customWidth="true" hidden="false" outlineLevel="0" max="11" min="11" style="0" width="0.25"/>
    <col collapsed="false" customWidth="true" hidden="false" outlineLevel="0" max="13" min="12" style="0" width="1.37"/>
    <col collapsed="false" customWidth="true" hidden="false" outlineLevel="0" max="14" min="14" style="0" width="0.37"/>
    <col collapsed="false" customWidth="true" hidden="false" outlineLevel="0" max="16" min="15" style="0" width="1.37"/>
    <col collapsed="false" customWidth="true" hidden="false" outlineLevel="0" max="17" min="17" style="0" width="0.37"/>
    <col collapsed="false" customWidth="true" hidden="false" outlineLevel="0" max="18" min="18" style="0" width="1.25"/>
    <col collapsed="false" customWidth="true" hidden="false" outlineLevel="0" max="19" min="19" style="0" width="1.5"/>
    <col collapsed="false" customWidth="true" hidden="false" outlineLevel="0" max="20" min="20" style="0" width="0.37"/>
    <col collapsed="false" customWidth="true" hidden="false" outlineLevel="0" max="21" min="21" style="0" width="1.25"/>
    <col collapsed="false" customWidth="true" hidden="false" outlineLevel="0" max="22" min="22" style="0" width="0.62"/>
    <col collapsed="false" customWidth="true" hidden="false" outlineLevel="0" max="23" min="23" style="0" width="0.87"/>
    <col collapsed="false" customWidth="true" hidden="false" outlineLevel="0" max="24" min="24" style="0" width="0.37"/>
    <col collapsed="false" customWidth="true" hidden="false" outlineLevel="0" max="25" min="25" style="0" width="1.25"/>
    <col collapsed="false" customWidth="true" hidden="false" outlineLevel="0" max="26" min="26" style="0" width="1.5"/>
    <col collapsed="false" customWidth="true" hidden="false" outlineLevel="0" max="27" min="27" style="0" width="0.25"/>
    <col collapsed="false" customWidth="true" hidden="false" outlineLevel="0" max="29" min="28" style="0" width="1.37"/>
    <col collapsed="false" customWidth="true" hidden="false" outlineLevel="0" max="30" min="30" style="0" width="0.37"/>
    <col collapsed="false" customWidth="true" hidden="false" outlineLevel="0" max="32" min="31" style="0" width="1.37"/>
    <col collapsed="false" customWidth="true" hidden="false" outlineLevel="0" max="33" min="33" style="0" width="0.37"/>
    <col collapsed="false" customWidth="true" hidden="false" outlineLevel="0" max="34" min="34" style="0" width="1.25"/>
    <col collapsed="false" customWidth="true" hidden="false" outlineLevel="0" max="35" min="35" style="0" width="0.62"/>
    <col collapsed="false" customWidth="true" hidden="false" outlineLevel="0" max="36" min="36" style="0" width="0.37"/>
    <col collapsed="false" customWidth="true" hidden="false" outlineLevel="0" max="37" min="37" style="0" width="0.5"/>
    <col collapsed="false" customWidth="true" hidden="false" outlineLevel="0" max="38" min="38" style="0" width="0.37"/>
    <col collapsed="false" customWidth="true" hidden="false" outlineLevel="0" max="39" min="39" style="0" width="1.25"/>
    <col collapsed="false" customWidth="true" hidden="false" outlineLevel="0" max="40" min="40" style="0" width="1.5"/>
    <col collapsed="false" customWidth="true" hidden="false" outlineLevel="0" max="41" min="41" style="0" width="0.37"/>
    <col collapsed="false" customWidth="true" hidden="false" outlineLevel="0" max="42" min="42" style="0" width="1.25"/>
    <col collapsed="false" customWidth="true" hidden="false" outlineLevel="0" max="43" min="43" style="0" width="1.5"/>
    <col collapsed="false" customWidth="true" hidden="false" outlineLevel="0" max="44" min="44" style="0" width="0.25"/>
    <col collapsed="false" customWidth="true" hidden="false" outlineLevel="0" max="45" min="45" style="0" width="1.37"/>
    <col collapsed="false" customWidth="true" hidden="false" outlineLevel="0" max="46" min="46" style="0" width="3.12"/>
    <col collapsed="false" customWidth="true" hidden="false" outlineLevel="0" max="47" min="47" style="0" width="1.75"/>
    <col collapsed="false" customWidth="true" hidden="false" outlineLevel="0" max="48" min="48" style="0" width="4.37"/>
    <col collapsed="false" customWidth="true" hidden="false" outlineLevel="0" max="49" min="49" style="0" width="2.5"/>
    <col collapsed="false" customWidth="true" hidden="false" outlineLevel="0" max="50" min="50" style="0" width="6"/>
    <col collapsed="false" customWidth="true" hidden="false" outlineLevel="0" max="51" min="51" style="0" width="3.75"/>
    <col collapsed="false" customWidth="true" hidden="false" outlineLevel="0" max="52" min="52" style="0" width="0.25"/>
    <col collapsed="false" customWidth="true" hidden="false" outlineLevel="0" max="53" min="53" style="0" width="1.5"/>
    <col collapsed="false" customWidth="true" hidden="false" outlineLevel="0" max="54" min="54" style="0" width="0.25"/>
    <col collapsed="false" customWidth="true" hidden="false" outlineLevel="0" max="55" min="55" style="0" width="4.63"/>
    <col collapsed="false" customWidth="true" hidden="false" outlineLevel="0" max="56" min="56" style="0" width="0.5"/>
    <col collapsed="false" customWidth="true" hidden="false" outlineLevel="0" max="57" min="57" style="0" width="6.5"/>
    <col collapsed="false" customWidth="true" hidden="false" outlineLevel="0" max="58" min="58" style="0" width="4.37"/>
    <col collapsed="false" customWidth="true" hidden="false" outlineLevel="0" max="59" min="59" style="0" width="0.62"/>
    <col collapsed="false" customWidth="true" hidden="false" outlineLevel="0" max="60" min="60" style="0" width="0.25"/>
  </cols>
  <sheetData>
    <row r="1" customFormat="false" ht="14.25" hidden="false" customHeight="true" outlineLevel="0" collapsed="false">
      <c r="A1" s="33" t="s">
        <v>1335</v>
      </c>
      <c r="BD1" s="33" t="s">
        <v>214</v>
      </c>
      <c r="BF1" s="33" t="s">
        <v>1251</v>
      </c>
    </row>
    <row r="2" customFormat="false" ht="14.25" hidden="false" customHeight="true" outlineLevel="0" collapsed="false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</row>
    <row r="3" customFormat="false" ht="16.5" hidden="false" customHeight="true" outlineLevel="0" collapsed="false">
      <c r="A3" s="31"/>
      <c r="B3" s="63" t="s">
        <v>1336</v>
      </c>
      <c r="C3" s="41" t="s">
        <v>1337</v>
      </c>
      <c r="AV3" s="32"/>
      <c r="AX3" s="65" t="n">
        <f aca="false">v_r20</f>
        <v>0</v>
      </c>
      <c r="AY3" s="65"/>
      <c r="AZ3" s="65"/>
      <c r="BA3" s="65"/>
      <c r="BB3" s="31"/>
      <c r="BG3" s="32"/>
    </row>
    <row r="4" customFormat="false" ht="3.75" hidden="false" customHeight="true" outlineLevel="0" collapsed="false">
      <c r="A4" s="43"/>
      <c r="B4" s="40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40"/>
      <c r="AW4" s="29"/>
      <c r="AX4" s="29"/>
      <c r="AY4" s="29"/>
      <c r="AZ4" s="29"/>
      <c r="BA4" s="40"/>
      <c r="BG4" s="32"/>
    </row>
    <row r="5" customFormat="false" ht="15.75" hidden="false" customHeight="true" outlineLevel="0" collapsed="false">
      <c r="A5" s="31"/>
      <c r="B5" s="63" t="s">
        <v>1338</v>
      </c>
      <c r="C5" s="41" t="s">
        <v>1339</v>
      </c>
      <c r="AV5" s="32"/>
      <c r="AX5" s="65" t="n">
        <f aca="false">v_r21</f>
        <v>0</v>
      </c>
      <c r="AY5" s="65"/>
      <c r="AZ5" s="65"/>
      <c r="BA5" s="65"/>
      <c r="BB5" s="31"/>
      <c r="BG5" s="32"/>
    </row>
    <row r="6" customFormat="false" ht="3.75" hidden="false" customHeight="true" outlineLevel="0" collapsed="false">
      <c r="A6" s="43"/>
      <c r="B6" s="40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40"/>
      <c r="AW6" s="29"/>
      <c r="AX6" s="29"/>
      <c r="AY6" s="29"/>
      <c r="AZ6" s="29"/>
      <c r="BA6" s="40"/>
      <c r="BG6" s="32"/>
    </row>
    <row r="7" customFormat="false" ht="16.5" hidden="false" customHeight="true" outlineLevel="0" collapsed="false">
      <c r="A7" s="31"/>
      <c r="B7" s="63" t="s">
        <v>1340</v>
      </c>
      <c r="C7" s="41" t="s">
        <v>1341</v>
      </c>
      <c r="AV7" s="32"/>
      <c r="AX7" s="65" t="n">
        <f aca="false">v_r22</f>
        <v>0</v>
      </c>
      <c r="AY7" s="65"/>
      <c r="AZ7" s="65"/>
      <c r="BA7" s="65"/>
      <c r="BB7" s="31"/>
      <c r="BC7" s="68" t="str">
        <f aca="false">v_r22_years</f>
        <v/>
      </c>
      <c r="BD7" s="68"/>
      <c r="BE7" s="68"/>
      <c r="BF7" s="68"/>
      <c r="BG7" s="68"/>
      <c r="BH7" s="31"/>
    </row>
    <row r="8" customFormat="false" ht="3.75" hidden="false" customHeight="true" outlineLevel="0" collapsed="false">
      <c r="A8" s="43"/>
      <c r="B8" s="40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40"/>
      <c r="AW8" s="29"/>
      <c r="AX8" s="29"/>
      <c r="AY8" s="29"/>
      <c r="AZ8" s="29"/>
      <c r="BA8" s="40"/>
      <c r="BG8" s="32"/>
    </row>
    <row r="9" customFormat="false" ht="16.5" hidden="false" customHeight="true" outlineLevel="0" collapsed="false">
      <c r="A9" s="31"/>
      <c r="B9" s="63" t="s">
        <v>1342</v>
      </c>
      <c r="C9" s="41" t="s">
        <v>1343</v>
      </c>
      <c r="AV9" s="32"/>
      <c r="AX9" s="65" t="n">
        <f aca="false">v_r23</f>
        <v>36206</v>
      </c>
      <c r="AY9" s="65"/>
      <c r="AZ9" s="65"/>
      <c r="BA9" s="65"/>
      <c r="BB9" s="31"/>
      <c r="BG9" s="32"/>
    </row>
    <row r="10" customFormat="false" ht="3.75" hidden="false" customHeight="true" outlineLevel="0" collapsed="false">
      <c r="A10" s="43"/>
      <c r="B10" s="40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40"/>
      <c r="AW10" s="29"/>
      <c r="AX10" s="29"/>
      <c r="AY10" s="29"/>
      <c r="AZ10" s="29"/>
      <c r="BA10" s="40"/>
      <c r="BG10" s="32"/>
    </row>
    <row r="11" customFormat="false" ht="16.5" hidden="false" customHeight="true" outlineLevel="0" collapsed="false">
      <c r="A11" s="31"/>
      <c r="B11" s="63" t="s">
        <v>1344</v>
      </c>
      <c r="C11" s="41" t="s">
        <v>1345</v>
      </c>
      <c r="AV11" s="32"/>
      <c r="AX11" s="67" t="n">
        <f aca="false">v_r24</f>
        <v>36206</v>
      </c>
      <c r="AY11" s="67"/>
      <c r="AZ11" s="67"/>
      <c r="BA11" s="67"/>
      <c r="BB11" s="31"/>
      <c r="BG11" s="32"/>
    </row>
    <row r="12" customFormat="false" ht="3" hidden="false" customHeight="true" outlineLevel="0" collapsed="false">
      <c r="A12" s="43"/>
      <c r="B12" s="40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40"/>
      <c r="AW12" s="29"/>
      <c r="AX12" s="29"/>
      <c r="AY12" s="29"/>
      <c r="AZ12" s="29"/>
      <c r="BA12" s="40"/>
      <c r="BB12" s="29"/>
      <c r="BC12" s="29"/>
      <c r="BD12" s="29"/>
      <c r="BE12" s="29"/>
      <c r="BF12" s="29"/>
      <c r="BG12" s="40"/>
    </row>
    <row r="13" customFormat="false" ht="16.5" hidden="false" customHeight="true" outlineLevel="0" collapsed="false">
      <c r="A13" s="31"/>
      <c r="B13" s="63" t="s">
        <v>1346</v>
      </c>
      <c r="C13" s="41" t="s">
        <v>1347</v>
      </c>
      <c r="AV13" s="32"/>
      <c r="AX13" s="65" t="n">
        <f aca="false">v_r25</f>
        <v>0</v>
      </c>
      <c r="AY13" s="65"/>
      <c r="AZ13" s="65"/>
      <c r="BA13" s="65"/>
      <c r="BB13" s="31"/>
      <c r="BG13" s="32"/>
    </row>
    <row r="14" customFormat="false" ht="4.5" hidden="false" customHeight="true" outlineLevel="0" collapsed="false">
      <c r="A14" s="43"/>
      <c r="B14" s="40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40"/>
      <c r="AW14" s="29"/>
      <c r="AX14" s="29"/>
      <c r="AY14" s="29"/>
      <c r="AZ14" s="29"/>
      <c r="BA14" s="40"/>
      <c r="BB14" s="29"/>
      <c r="BC14" s="29"/>
      <c r="BD14" s="29"/>
      <c r="BE14" s="29"/>
      <c r="BF14" s="29"/>
      <c r="BG14" s="40"/>
    </row>
    <row r="15" customFormat="false" ht="19.5" hidden="false" customHeight="tru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</row>
    <row r="16" customFormat="false" ht="16.5" hidden="false" customHeight="true" outlineLevel="0" collapsed="false">
      <c r="A16" s="31"/>
      <c r="B16" s="63" t="s">
        <v>1348</v>
      </c>
      <c r="C16" s="41" t="s">
        <v>1349</v>
      </c>
      <c r="BA16" s="32"/>
      <c r="BE16" s="65" t="n">
        <f aca="false">v_r26</f>
        <v>5308</v>
      </c>
      <c r="BF16" s="65"/>
      <c r="BG16" s="65"/>
      <c r="BH16" s="31"/>
    </row>
    <row r="17" customFormat="false" ht="3.75" hidden="false" customHeight="true" outlineLevel="0" collapsed="false">
      <c r="A17" s="43"/>
      <c r="B17" s="40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40"/>
      <c r="BB17" s="29"/>
      <c r="BC17" s="29"/>
      <c r="BD17" s="29"/>
      <c r="BE17" s="29"/>
      <c r="BF17" s="29"/>
      <c r="BG17" s="40"/>
    </row>
    <row r="18" customFormat="false" ht="17.25" hidden="false" customHeight="true" outlineLevel="0" collapsed="false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</row>
    <row r="19" customFormat="false" ht="15" hidden="false" customHeight="true" outlineLevel="0" collapsed="false">
      <c r="A19" s="31"/>
      <c r="W19" s="33" t="s">
        <v>1350</v>
      </c>
      <c r="BG19" s="32"/>
    </row>
    <row r="20" customFormat="false" ht="15.75" hidden="false" customHeight="true" outlineLevel="0" collapsed="false">
      <c r="A20" s="31"/>
      <c r="P20" s="41" t="s">
        <v>1351</v>
      </c>
      <c r="S20" s="69" t="str">
        <f aca="false">v_doc1</f>
        <v>Tax Calculation</v>
      </c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32"/>
    </row>
    <row r="21" customFormat="false" ht="14.25" hidden="false" customHeight="true" outlineLevel="0" collapsed="false">
      <c r="A21" s="31"/>
      <c r="P21" s="41" t="s">
        <v>1352</v>
      </c>
      <c r="S21" s="69" t="str">
        <f aca="false">v_doc2</f>
        <v>Tax Free Income/ Exempted</v>
      </c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32"/>
    </row>
    <row r="22" customFormat="false" ht="14.25" hidden="false" customHeight="true" outlineLevel="0" collapsed="false">
      <c r="A22" s="31"/>
      <c r="P22" s="41" t="s">
        <v>1353</v>
      </c>
      <c r="S22" s="69" t="str">
        <f aca="false">v_doc3</f>
        <v>Related Supporting Documents</v>
      </c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69"/>
      <c r="BF22" s="69"/>
      <c r="BG22" s="32"/>
    </row>
    <row r="23" customFormat="false" ht="13.5" hidden="false" customHeight="true" outlineLevel="0" collapsed="false">
      <c r="A23" s="31"/>
      <c r="P23" s="41" t="s">
        <v>1354</v>
      </c>
      <c r="S23" s="69" t="str">
        <f aca="false">v_doc4</f>
        <v/>
      </c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32"/>
    </row>
    <row r="24" customFormat="false" ht="14.25" hidden="false" customHeight="true" outlineLevel="0" collapsed="false">
      <c r="A24" s="31"/>
      <c r="P24" s="41" t="s">
        <v>1355</v>
      </c>
      <c r="S24" s="69" t="str">
        <f aca="false">v_doc5</f>
        <v/>
      </c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69"/>
      <c r="BF24" s="69"/>
      <c r="BG24" s="32"/>
    </row>
    <row r="25" customFormat="false" ht="13.5" hidden="false" customHeight="true" outlineLevel="0" collapsed="false">
      <c r="A25" s="31"/>
      <c r="P25" s="41" t="s">
        <v>1356</v>
      </c>
      <c r="S25" s="69" t="str">
        <f aca="false">v_doc6</f>
        <v/>
      </c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32"/>
    </row>
    <row r="26" customFormat="false" ht="14.25" hidden="false" customHeight="true" outlineLevel="0" collapsed="false">
      <c r="A26" s="31"/>
      <c r="P26" s="41" t="s">
        <v>1357</v>
      </c>
      <c r="S26" s="69" t="str">
        <f aca="false">v_doc7</f>
        <v/>
      </c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69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69"/>
      <c r="BF26" s="69"/>
      <c r="BG26" s="32"/>
    </row>
    <row r="27" customFormat="false" ht="42.75" hidden="false" customHeight="true" outlineLevel="0" collapsed="false">
      <c r="A27" s="43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40"/>
    </row>
    <row r="28" customFormat="false" ht="32.25" hidden="false" customHeight="true" outlineLevel="0" collapsed="false">
      <c r="AJ28" s="34" t="s">
        <v>1358</v>
      </c>
    </row>
    <row r="29" customFormat="false" ht="17.25" hidden="false" customHeight="true" outlineLevel="0" collapsed="false">
      <c r="C29" s="41" t="s">
        <v>1359</v>
      </c>
      <c r="E29" s="37" t="str">
        <f aca="false">v_name</f>
        <v>Sample Taxpayer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</row>
    <row r="30" customFormat="false" ht="23.25" hidden="false" customHeight="true" outlineLevel="0" collapsed="false">
      <c r="C30" s="41" t="s">
        <v>60</v>
      </c>
      <c r="F30" s="41" t="s">
        <v>1360</v>
      </c>
      <c r="P30" s="37" t="str">
        <f aca="false">v_father_or_husband</f>
        <v>Father Name</v>
      </c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</row>
    <row r="31" customFormat="false" ht="10.5" hidden="false" customHeight="true" outlineLevel="0" collapsed="false"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</row>
    <row r="32" customFormat="false" ht="17.25" hidden="false" customHeight="true" outlineLevel="0" collapsed="false">
      <c r="C32" s="33" t="s">
        <v>1247</v>
      </c>
      <c r="F32" s="32"/>
      <c r="G32" s="29"/>
      <c r="H32" s="47" t="str">
        <f aca="false">MID(v_tin,1,1)</f>
        <v>1</v>
      </c>
      <c r="I32" s="40"/>
      <c r="J32" s="29"/>
      <c r="K32" s="47" t="str">
        <f aca="false">MID(v_tin,2,1)</f>
        <v>1</v>
      </c>
      <c r="L32" s="40"/>
      <c r="M32" s="29"/>
      <c r="N32" s="47" t="str">
        <f aca="false">MID(v_tin,3,1)</f>
        <v>1</v>
      </c>
      <c r="O32" s="40"/>
      <c r="P32" s="29"/>
      <c r="Q32" s="47" t="str">
        <f aca="false">MID(v_tin,4,1)</f>
        <v>1</v>
      </c>
      <c r="R32" s="40"/>
      <c r="S32" s="29"/>
      <c r="T32" s="47" t="str">
        <f aca="false">MID(v_tin,5,1)</f>
        <v>2</v>
      </c>
      <c r="U32" s="40"/>
      <c r="V32" s="29"/>
      <c r="W32" s="29"/>
      <c r="X32" s="47" t="str">
        <f aca="false">MID(v_tin,6,1)</f>
        <v>2</v>
      </c>
      <c r="Y32" s="40"/>
      <c r="Z32" s="29"/>
      <c r="AA32" s="47" t="str">
        <f aca="false">MID(v_tin,7,1)</f>
        <v>2</v>
      </c>
      <c r="AB32" s="40"/>
      <c r="AC32" s="29"/>
      <c r="AD32" s="47" t="str">
        <f aca="false">MID(v_tin,8,1)</f>
        <v>2</v>
      </c>
      <c r="AE32" s="40"/>
      <c r="AF32" s="29"/>
      <c r="AG32" s="47" t="str">
        <f aca="false">MID(v_tin,9,1)</f>
        <v>3</v>
      </c>
      <c r="AH32" s="40"/>
      <c r="AI32" s="29"/>
      <c r="AJ32" s="29"/>
      <c r="AK32" s="29"/>
      <c r="AL32" s="47" t="str">
        <f aca="false">MID(v_tin,10,1)</f>
        <v>3</v>
      </c>
      <c r="AM32" s="40"/>
      <c r="AN32" s="29"/>
      <c r="AO32" s="47" t="str">
        <f aca="false">MID(v_tin,11,1)</f>
        <v>3</v>
      </c>
      <c r="AP32" s="40"/>
      <c r="AQ32" s="29"/>
      <c r="AR32" s="47" t="str">
        <f aca="false">MID(v_tin,12,1)</f>
        <v>3</v>
      </c>
      <c r="AS32" s="40"/>
    </row>
    <row r="33" customFormat="false" ht="18.75" hidden="false" customHeight="true" outlineLevel="0" collapsed="false">
      <c r="C33" s="70" t="s">
        <v>1361</v>
      </c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</row>
    <row r="34" customFormat="false" ht="13.5" hidden="false" customHeight="true" outlineLevel="0" collapsed="false">
      <c r="C34" s="41" t="s">
        <v>1362</v>
      </c>
    </row>
    <row r="35" customFormat="false" ht="84" hidden="false" customHeight="true" outlineLevel="0" collapsed="false"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</row>
    <row r="36" customFormat="false" ht="15" hidden="false" customHeight="true" outlineLevel="0" collapsed="false">
      <c r="C36" s="41" t="s">
        <v>1363</v>
      </c>
      <c r="G36" s="69" t="str">
        <f aca="false">v_place</f>
        <v>Cumilla</v>
      </c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Y36" s="41" t="s">
        <v>1364</v>
      </c>
    </row>
    <row r="37" customFormat="false" ht="17.25" hidden="false" customHeight="true" outlineLevel="0" collapsed="false">
      <c r="D37" s="41" t="s">
        <v>1365</v>
      </c>
      <c r="G37" s="69" t="str">
        <f aca="false">v_date</f>
        <v>20/10/2026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Z37" s="53" t="str">
        <f aca="false">v_name</f>
        <v>Sample Taxpayer</v>
      </c>
    </row>
    <row r="38" customFormat="false" ht="18" hidden="false" customHeight="true" outlineLevel="0" collapsed="false">
      <c r="AV38" s="41" t="s">
        <v>1366</v>
      </c>
    </row>
    <row r="39" customFormat="false" ht="19.5" hidden="false" customHeight="true" outlineLevel="0" collapsed="false"/>
    <row r="40" customFormat="false" ht="15" hidden="false" customHeight="true" outlineLevel="0" collapsed="false">
      <c r="A40" s="5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57" t="s">
        <v>1367</v>
      </c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58"/>
    </row>
    <row r="41" customFormat="false" ht="2.25" hidden="false" customHeight="true" outlineLevel="0" collapsed="false"/>
  </sheetData>
  <sheetProtection sheet="true"/>
  <mergeCells count="20">
    <mergeCell ref="AX3:BA3"/>
    <mergeCell ref="AX5:BA5"/>
    <mergeCell ref="AX7:BA7"/>
    <mergeCell ref="BC7:BG7"/>
    <mergeCell ref="AX9:BA9"/>
    <mergeCell ref="AX11:BA11"/>
    <mergeCell ref="AX13:BA13"/>
    <mergeCell ref="BE16:BG16"/>
    <mergeCell ref="S20:BF20"/>
    <mergeCell ref="S21:BF21"/>
    <mergeCell ref="S22:BF22"/>
    <mergeCell ref="S23:BF23"/>
    <mergeCell ref="S24:BF24"/>
    <mergeCell ref="S25:BF25"/>
    <mergeCell ref="S26:BF26"/>
    <mergeCell ref="E29:BC29"/>
    <mergeCell ref="P30:BF30"/>
    <mergeCell ref="C33:BF33"/>
    <mergeCell ref="G36:AN36"/>
    <mergeCell ref="G37:AE37"/>
  </mergeCells>
  <conditionalFormatting sqref="C30">
    <cfRule type="expression" priority="2" aboveAverage="0" equalAverage="0" bottom="0" percent="0" rank="0" text="" dxfId="0">
      <formula>v_relation&lt;&gt;"husband"</formula>
    </cfRule>
  </conditionalFormatting>
  <conditionalFormatting sqref="F30">
    <cfRule type="expression" priority="3" aboveAverage="0" equalAverage="0" bottom="0" percent="0" rank="0" text="" dxfId="0">
      <formula>v_relation="husband"</formula>
    </cfRule>
  </conditionalFormatting>
  <printOptions headings="false" gridLines="false" gridLinesSet="true" horizontalCentered="false" verticalCentered="false"/>
  <pageMargins left="0.4625" right="0.361805555555556" top="1.30833333333333" bottom="1.03402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Y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0.37"/>
    <col collapsed="false" customWidth="true" hidden="false" outlineLevel="0" max="2" min="2" style="0" width="0.5"/>
    <col collapsed="false" customWidth="true" hidden="false" outlineLevel="0" max="3" min="3" style="0" width="1.88"/>
    <col collapsed="false" customWidth="true" hidden="false" outlineLevel="0" max="4" min="4" style="0" width="0.5"/>
    <col collapsed="false" customWidth="true" hidden="false" outlineLevel="0" max="5" min="5" style="0" width="6.12"/>
    <col collapsed="false" customWidth="true" hidden="false" outlineLevel="0" max="6" min="6" style="0" width="10.75"/>
    <col collapsed="false" customWidth="true" hidden="false" outlineLevel="0" max="7" min="7" style="0" width="4.25"/>
    <col collapsed="false" customWidth="true" hidden="false" outlineLevel="0" max="8" min="8" style="0" width="2.5"/>
    <col collapsed="false" customWidth="true" hidden="false" outlineLevel="0" max="9" min="9" style="0" width="6.75"/>
    <col collapsed="false" customWidth="true" hidden="false" outlineLevel="0" max="10" min="10" style="0" width="0.5"/>
    <col collapsed="false" customWidth="true" hidden="false" outlineLevel="0" max="11" min="11" style="0" width="1"/>
    <col collapsed="false" customWidth="true" hidden="false" outlineLevel="0" max="12" min="12" style="0" width="0.37"/>
    <col collapsed="false" customWidth="true" hidden="false" outlineLevel="0" max="13" min="13" style="0" width="1.37"/>
    <col collapsed="false" customWidth="true" hidden="false" outlineLevel="0" max="14" min="14" style="0" width="1.5"/>
    <col collapsed="false" customWidth="true" hidden="false" outlineLevel="0" max="15" min="15" style="0" width="0.5"/>
    <col collapsed="false" customWidth="true" hidden="false" outlineLevel="0" max="16" min="16" style="0" width="0.25"/>
    <col collapsed="false" customWidth="true" hidden="false" outlineLevel="0" max="17" min="17" style="0" width="1.12"/>
    <col collapsed="false" customWidth="true" hidden="false" outlineLevel="0" max="18" min="18" style="0" width="1.63"/>
    <col collapsed="false" customWidth="true" hidden="false" outlineLevel="0" max="19" min="19" style="0" width="0.25"/>
    <col collapsed="false" customWidth="true" hidden="false" outlineLevel="0" max="20" min="20" style="0" width="1.5"/>
    <col collapsed="false" customWidth="true" hidden="false" outlineLevel="0" max="21" min="21" style="0" width="1.63"/>
    <col collapsed="false" customWidth="true" hidden="false" outlineLevel="0" max="22" min="22" style="0" width="0.25"/>
    <col collapsed="false" customWidth="true" hidden="false" outlineLevel="0" max="23" min="23" style="0" width="1.5"/>
    <col collapsed="false" customWidth="true" hidden="false" outlineLevel="0" max="24" min="24" style="0" width="1.63"/>
    <col collapsed="false" customWidth="true" hidden="false" outlineLevel="0" max="25" min="25" style="0" width="0.25"/>
    <col collapsed="false" customWidth="true" hidden="false" outlineLevel="0" max="26" min="26" style="0" width="1.5"/>
    <col collapsed="false" customWidth="true" hidden="false" outlineLevel="0" max="27" min="27" style="0" width="0.87"/>
    <col collapsed="false" customWidth="true" hidden="false" outlineLevel="0" max="28" min="28" style="0" width="0.62"/>
    <col collapsed="false" customWidth="true" hidden="false" outlineLevel="0" max="29" min="29" style="0" width="0.5"/>
    <col collapsed="false" customWidth="true" hidden="false" outlineLevel="0" max="30" min="30" style="0" width="0.12"/>
    <col collapsed="false" customWidth="true" hidden="false" outlineLevel="0" max="31" min="31" style="0" width="1.25"/>
    <col collapsed="false" customWidth="true" hidden="false" outlineLevel="0" max="32" min="32" style="0" width="1.5"/>
    <col collapsed="false" customWidth="true" hidden="false" outlineLevel="0" max="33" min="33" style="0" width="0.37"/>
    <col collapsed="false" customWidth="true" hidden="false" outlineLevel="0" max="34" min="34" style="0" width="1.37"/>
    <col collapsed="false" customWidth="true" hidden="false" outlineLevel="0" max="35" min="35" style="0" width="1.75"/>
    <col collapsed="false" customWidth="true" hidden="false" outlineLevel="0" max="36" min="36" style="0" width="0.25"/>
    <col collapsed="false" customWidth="true" hidden="false" outlineLevel="0" max="37" min="37" style="0" width="1.37"/>
    <col collapsed="false" customWidth="true" hidden="false" outlineLevel="0" max="38" min="38" style="0" width="1.63"/>
    <col collapsed="false" customWidth="true" hidden="false" outlineLevel="0" max="39" min="39" style="0" width="0.37"/>
    <col collapsed="false" customWidth="true" hidden="false" outlineLevel="0" max="40" min="40" style="0" width="1.5"/>
    <col collapsed="false" customWidth="true" hidden="false" outlineLevel="0" max="41" min="41" style="0" width="1.37"/>
    <col collapsed="false" customWidth="true" hidden="false" outlineLevel="0" max="42" min="42" style="0" width="0.5"/>
    <col collapsed="false" customWidth="true" hidden="false" outlineLevel="0" max="43" min="43" style="0" width="1.37"/>
    <col collapsed="false" customWidth="true" hidden="false" outlineLevel="0" max="44" min="44" style="0" width="1.63"/>
    <col collapsed="false" customWidth="true" hidden="false" outlineLevel="0" max="45" min="45" style="0" width="0.37"/>
    <col collapsed="false" customWidth="true" hidden="false" outlineLevel="0" max="46" min="46" style="0" width="1.37"/>
    <col collapsed="false" customWidth="true" hidden="false" outlineLevel="0" max="47" min="47" style="0" width="1.63"/>
    <col collapsed="false" customWidth="true" hidden="false" outlineLevel="0" max="48" min="48" style="0" width="0.25"/>
    <col collapsed="false" customWidth="true" hidden="false" outlineLevel="0" max="49" min="49" style="0" width="1.5"/>
    <col collapsed="false" customWidth="true" hidden="false" outlineLevel="0" max="50" min="50" style="0" width="3.37"/>
    <col collapsed="false" customWidth="true" hidden="false" outlineLevel="0" max="51" min="51" style="0" width="0.25"/>
  </cols>
  <sheetData>
    <row r="1" customFormat="false" ht="14.25" hidden="false" customHeight="true" outlineLevel="0" collapsed="false">
      <c r="K1" s="72" t="s">
        <v>1368</v>
      </c>
    </row>
    <row r="2" customFormat="false" ht="14.25" hidden="false" customHeight="true" outlineLevel="0" collapsed="false">
      <c r="H2" s="72" t="s">
        <v>1369</v>
      </c>
    </row>
    <row r="3" customFormat="false" ht="14.25" hidden="false" customHeight="true" outlineLevel="0" collapsed="false">
      <c r="F3" s="73" t="s">
        <v>1370</v>
      </c>
    </row>
    <row r="4" customFormat="false" ht="19.5" hidden="false" customHeight="true" outlineLevel="0" collapsed="false">
      <c r="A4" s="72" t="s">
        <v>1245</v>
      </c>
      <c r="G4" s="74" t="str">
        <f aca="false">v_name</f>
        <v>Sample Taxpayer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</row>
    <row r="5" customFormat="false" ht="14.25" hidden="false" customHeight="true" outlineLevel="0" collapsed="false">
      <c r="I5" s="75" t="s">
        <v>1247</v>
      </c>
      <c r="J5" s="60"/>
      <c r="K5" s="60"/>
      <c r="L5" s="76" t="str">
        <f aca="false">MID(v_tin,1,1)</f>
        <v>1</v>
      </c>
      <c r="M5" s="62"/>
      <c r="N5" s="60"/>
      <c r="O5" s="76" t="str">
        <f aca="false">MID(v_tin,2,1)</f>
        <v>1</v>
      </c>
      <c r="P5" s="60"/>
      <c r="Q5" s="62"/>
      <c r="R5" s="60"/>
      <c r="S5" s="76" t="str">
        <f aca="false">MID(v_tin,3,1)</f>
        <v>1</v>
      </c>
      <c r="T5" s="62"/>
      <c r="U5" s="60"/>
      <c r="V5" s="76" t="str">
        <f aca="false">MID(v_tin,4,1)</f>
        <v>1</v>
      </c>
      <c r="W5" s="62"/>
      <c r="X5" s="60"/>
      <c r="Y5" s="76" t="str">
        <f aca="false">MID(v_tin,5,1)</f>
        <v>2</v>
      </c>
      <c r="Z5" s="62"/>
      <c r="AA5" s="60"/>
      <c r="AB5" s="60"/>
      <c r="AC5" s="76" t="str">
        <f aca="false">MID(v_tin,6,1)</f>
        <v>2</v>
      </c>
      <c r="AD5" s="60"/>
      <c r="AE5" s="62"/>
      <c r="AF5" s="60"/>
      <c r="AG5" s="76" t="str">
        <f aca="false">MID(v_tin,7,1)</f>
        <v>2</v>
      </c>
      <c r="AH5" s="62"/>
      <c r="AI5" s="60"/>
      <c r="AJ5" s="76" t="str">
        <f aca="false">MID(v_tin,8,1)</f>
        <v>2</v>
      </c>
      <c r="AK5" s="62"/>
      <c r="AL5" s="60"/>
      <c r="AM5" s="76" t="str">
        <f aca="false">MID(v_tin,9,1)</f>
        <v>3</v>
      </c>
      <c r="AN5" s="62"/>
      <c r="AO5" s="60"/>
      <c r="AP5" s="76" t="str">
        <f aca="false">MID(v_tin,10,1)</f>
        <v>3</v>
      </c>
      <c r="AQ5" s="62"/>
      <c r="AR5" s="60"/>
      <c r="AS5" s="76" t="str">
        <f aca="false">MID(v_tin,11,1)</f>
        <v>3</v>
      </c>
      <c r="AT5" s="62"/>
      <c r="AU5" s="60"/>
      <c r="AV5" s="76" t="str">
        <f aca="false">MID(v_tin,12,1)</f>
        <v>3</v>
      </c>
      <c r="AW5" s="62"/>
    </row>
    <row r="6" customFormat="false" ht="7.5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</row>
    <row r="7" customFormat="false" ht="12.75" hidden="false" customHeight="true" outlineLevel="0" collapsed="false">
      <c r="A7" s="31"/>
      <c r="B7" s="77" t="s">
        <v>1371</v>
      </c>
      <c r="C7" s="77"/>
      <c r="D7" s="32"/>
      <c r="E7" s="78" t="s">
        <v>1372</v>
      </c>
      <c r="F7" s="78"/>
      <c r="M7" s="32"/>
      <c r="Q7" s="78" t="s">
        <v>1373</v>
      </c>
      <c r="R7" s="78"/>
      <c r="S7" s="78"/>
      <c r="T7" s="78"/>
      <c r="U7" s="78"/>
      <c r="W7" s="78" t="s">
        <v>1374</v>
      </c>
      <c r="X7" s="78"/>
      <c r="Z7" s="32"/>
      <c r="AB7" s="73" t="s">
        <v>1375</v>
      </c>
      <c r="AN7" s="32"/>
      <c r="AO7" s="73" t="s">
        <v>1376</v>
      </c>
      <c r="AX7" s="32"/>
    </row>
    <row r="8" customFormat="false" ht="6.75" hidden="false" customHeight="true" outlineLevel="0" collapsed="false">
      <c r="A8" s="31"/>
      <c r="B8" s="77"/>
      <c r="C8" s="77"/>
      <c r="D8" s="32"/>
      <c r="E8" s="78"/>
      <c r="F8" s="78"/>
      <c r="M8" s="32"/>
      <c r="Q8" s="78"/>
      <c r="R8" s="78"/>
      <c r="S8" s="78"/>
      <c r="T8" s="78"/>
      <c r="U8" s="78"/>
      <c r="W8" s="78"/>
      <c r="X8" s="78"/>
      <c r="Z8" s="32"/>
      <c r="AE8" s="79" t="s">
        <v>1373</v>
      </c>
      <c r="AF8" s="79"/>
      <c r="AG8" s="79"/>
      <c r="AH8" s="79"/>
      <c r="AI8" s="79"/>
      <c r="AK8" s="79" t="s">
        <v>1374</v>
      </c>
      <c r="AL8" s="79"/>
      <c r="AN8" s="32"/>
      <c r="AT8" s="79" t="s">
        <v>1374</v>
      </c>
      <c r="AU8" s="79"/>
      <c r="AX8" s="32"/>
    </row>
    <row r="9" customFormat="false" ht="6" hidden="false" customHeight="true" outlineLevel="0" collapsed="false">
      <c r="A9" s="43"/>
      <c r="B9" s="29"/>
      <c r="C9" s="29"/>
      <c r="D9" s="40"/>
      <c r="E9" s="29"/>
      <c r="F9" s="29"/>
      <c r="G9" s="29"/>
      <c r="H9" s="29"/>
      <c r="I9" s="29"/>
      <c r="J9" s="29"/>
      <c r="K9" s="29"/>
      <c r="L9" s="29"/>
      <c r="M9" s="40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40"/>
      <c r="AA9" s="29"/>
      <c r="AB9" s="29"/>
      <c r="AC9" s="29"/>
      <c r="AD9" s="29"/>
      <c r="AE9" s="79"/>
      <c r="AF9" s="79"/>
      <c r="AG9" s="79"/>
      <c r="AH9" s="79"/>
      <c r="AI9" s="79"/>
      <c r="AJ9" s="29"/>
      <c r="AK9" s="79"/>
      <c r="AL9" s="79"/>
      <c r="AM9" s="29"/>
      <c r="AN9" s="40"/>
      <c r="AO9" s="29"/>
      <c r="AP9" s="29"/>
      <c r="AQ9" s="29"/>
      <c r="AR9" s="29"/>
      <c r="AS9" s="29"/>
      <c r="AT9" s="79"/>
      <c r="AU9" s="79"/>
      <c r="AV9" s="29"/>
      <c r="AW9" s="29"/>
      <c r="AX9" s="40"/>
    </row>
    <row r="10" customFormat="false" ht="15.75" hidden="false" customHeight="true" outlineLevel="0" collapsed="false">
      <c r="A10" s="31"/>
      <c r="C10" s="80" t="s">
        <v>1264</v>
      </c>
      <c r="D10" s="32"/>
      <c r="E10" s="73" t="s">
        <v>76</v>
      </c>
      <c r="M10" s="32"/>
      <c r="O10" s="81" t="n">
        <f aca="false">v_s1a_basic_pay_inc</f>
        <v>462648</v>
      </c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31"/>
      <c r="AC10" s="81" t="str">
        <f aca="false">v_s1a_basic_pay_exm</f>
        <v/>
      </c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31"/>
      <c r="AP10" s="81" t="n">
        <f aca="false">v_s1a_basic_pay_tax</f>
        <v>462648</v>
      </c>
      <c r="AQ10" s="81"/>
      <c r="AR10" s="81"/>
      <c r="AS10" s="81"/>
      <c r="AT10" s="81"/>
      <c r="AU10" s="81"/>
      <c r="AV10" s="81"/>
      <c r="AW10" s="81"/>
      <c r="AX10" s="81"/>
      <c r="AY10" s="31"/>
    </row>
    <row r="11" customFormat="false" ht="1.5" hidden="false" customHeight="true" outlineLevel="0" collapsed="false">
      <c r="A11" s="43"/>
      <c r="B11" s="29"/>
      <c r="C11" s="29"/>
      <c r="D11" s="40"/>
      <c r="E11" s="29"/>
      <c r="F11" s="29"/>
      <c r="G11" s="29"/>
      <c r="H11" s="29"/>
      <c r="I11" s="29"/>
      <c r="J11" s="29"/>
      <c r="K11" s="29"/>
      <c r="L11" s="29"/>
      <c r="M11" s="40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40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40"/>
      <c r="AO11" s="29"/>
      <c r="AP11" s="29"/>
      <c r="AQ11" s="29"/>
      <c r="AR11" s="29"/>
      <c r="AS11" s="29"/>
      <c r="AT11" s="29"/>
      <c r="AU11" s="29"/>
      <c r="AV11" s="29"/>
      <c r="AW11" s="29"/>
      <c r="AX11" s="40"/>
    </row>
    <row r="12" customFormat="false" ht="13.5" hidden="false" customHeight="true" outlineLevel="0" collapsed="false">
      <c r="A12" s="31"/>
      <c r="C12" s="77" t="s">
        <v>1265</v>
      </c>
      <c r="D12" s="32"/>
      <c r="E12" s="73" t="s">
        <v>1377</v>
      </c>
      <c r="M12" s="32"/>
      <c r="O12" s="81" t="n">
        <f aca="false">v_s1a_arrear_pay_inc</f>
        <v>0</v>
      </c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31"/>
      <c r="AC12" s="81" t="n">
        <f aca="false">v_s1a_arrear_pay_exm</f>
        <v>0</v>
      </c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31"/>
      <c r="AP12" s="81" t="str">
        <f aca="false">v_s1a_arrear_pay_tax</f>
        <v/>
      </c>
      <c r="AQ12" s="81"/>
      <c r="AR12" s="81"/>
      <c r="AS12" s="81"/>
      <c r="AT12" s="81"/>
      <c r="AU12" s="81"/>
      <c r="AV12" s="81"/>
      <c r="AW12" s="81"/>
      <c r="AX12" s="81"/>
      <c r="AY12" s="31"/>
    </row>
    <row r="13" customFormat="false" ht="7.5" hidden="false" customHeight="true" outlineLevel="0" collapsed="false">
      <c r="A13" s="31"/>
      <c r="C13" s="77"/>
      <c r="D13" s="32"/>
      <c r="E13" s="78" t="s">
        <v>1378</v>
      </c>
      <c r="F13" s="78"/>
      <c r="M13" s="32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3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31"/>
      <c r="AP13" s="81"/>
      <c r="AQ13" s="81"/>
      <c r="AR13" s="81"/>
      <c r="AS13" s="81"/>
      <c r="AT13" s="81"/>
      <c r="AU13" s="81"/>
      <c r="AV13" s="81"/>
      <c r="AW13" s="81"/>
      <c r="AX13" s="81"/>
      <c r="AY13" s="31"/>
    </row>
    <row r="14" customFormat="false" ht="6" hidden="false" customHeight="true" outlineLevel="0" collapsed="false">
      <c r="A14" s="43"/>
      <c r="B14" s="29"/>
      <c r="C14" s="29"/>
      <c r="D14" s="40"/>
      <c r="E14" s="78"/>
      <c r="F14" s="78"/>
      <c r="G14" s="29"/>
      <c r="H14" s="29"/>
      <c r="I14" s="29"/>
      <c r="J14" s="29"/>
      <c r="K14" s="29"/>
      <c r="L14" s="29"/>
      <c r="M14" s="40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40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40"/>
      <c r="AO14" s="29"/>
      <c r="AP14" s="29"/>
      <c r="AQ14" s="29"/>
      <c r="AR14" s="29"/>
      <c r="AS14" s="29"/>
      <c r="AT14" s="29"/>
      <c r="AU14" s="29"/>
      <c r="AV14" s="29"/>
      <c r="AW14" s="29"/>
      <c r="AX14" s="40"/>
    </row>
    <row r="15" customFormat="false" ht="15.75" hidden="false" customHeight="true" outlineLevel="0" collapsed="false">
      <c r="A15" s="31"/>
      <c r="C15" s="80" t="s">
        <v>1266</v>
      </c>
      <c r="D15" s="32"/>
      <c r="E15" s="82" t="s">
        <v>78</v>
      </c>
      <c r="F15" s="83"/>
      <c r="M15" s="32"/>
      <c r="O15" s="81" t="n">
        <f aca="false">v_s1a_special_allowance_inc</f>
        <v>0</v>
      </c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31"/>
      <c r="AC15" s="81" t="n">
        <f aca="false">v_s1a_special_allowance_exm</f>
        <v>0</v>
      </c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31"/>
      <c r="AP15" s="81" t="str">
        <f aca="false">v_s1a_special_allowance_tax</f>
        <v/>
      </c>
      <c r="AQ15" s="81"/>
      <c r="AR15" s="81"/>
      <c r="AS15" s="81"/>
      <c r="AT15" s="81"/>
      <c r="AU15" s="81"/>
      <c r="AV15" s="81"/>
      <c r="AW15" s="81"/>
      <c r="AX15" s="81"/>
      <c r="AY15" s="31"/>
    </row>
    <row r="16" customFormat="false" ht="2.25" hidden="false" customHeight="true" outlineLevel="0" collapsed="false">
      <c r="A16" s="43"/>
      <c r="B16" s="29"/>
      <c r="C16" s="29"/>
      <c r="D16" s="40"/>
      <c r="E16" s="29"/>
      <c r="F16" s="29"/>
      <c r="G16" s="29"/>
      <c r="H16" s="29"/>
      <c r="I16" s="29"/>
      <c r="J16" s="29"/>
      <c r="K16" s="29"/>
      <c r="L16" s="29"/>
      <c r="M16" s="40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40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40"/>
      <c r="AO16" s="29"/>
      <c r="AP16" s="29"/>
      <c r="AQ16" s="29"/>
      <c r="AR16" s="29"/>
      <c r="AS16" s="29"/>
      <c r="AT16" s="29"/>
      <c r="AU16" s="29"/>
      <c r="AV16" s="29"/>
      <c r="AW16" s="29"/>
      <c r="AX16" s="40"/>
    </row>
    <row r="17" customFormat="false" ht="15" hidden="false" customHeight="true" outlineLevel="0" collapsed="false">
      <c r="A17" s="31"/>
      <c r="C17" s="80" t="s">
        <v>1267</v>
      </c>
      <c r="D17" s="32"/>
      <c r="E17" s="73" t="s">
        <v>79</v>
      </c>
      <c r="M17" s="32"/>
      <c r="O17" s="81" t="n">
        <f aca="false">v_s1a_house_rent_allowance_inc</f>
        <v>0</v>
      </c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31"/>
      <c r="AC17" s="81" t="n">
        <f aca="false">v_s1a_house_rent_allowance_exm</f>
        <v>0</v>
      </c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31"/>
      <c r="AP17" s="81" t="str">
        <f aca="false">v_s1a_house_rent_allowance_tax</f>
        <v/>
      </c>
      <c r="AQ17" s="81"/>
      <c r="AR17" s="81"/>
      <c r="AS17" s="81"/>
      <c r="AT17" s="81"/>
      <c r="AU17" s="81"/>
      <c r="AV17" s="81"/>
      <c r="AW17" s="81"/>
      <c r="AX17" s="81"/>
      <c r="AY17" s="31"/>
    </row>
    <row r="18" customFormat="false" ht="2.25" hidden="false" customHeight="true" outlineLevel="0" collapsed="false">
      <c r="A18" s="43"/>
      <c r="B18" s="29"/>
      <c r="C18" s="29"/>
      <c r="D18" s="40"/>
      <c r="E18" s="29"/>
      <c r="F18" s="29"/>
      <c r="G18" s="29"/>
      <c r="H18" s="29"/>
      <c r="I18" s="29"/>
      <c r="J18" s="29"/>
      <c r="K18" s="29"/>
      <c r="L18" s="29"/>
      <c r="M18" s="40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40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40"/>
      <c r="AO18" s="29"/>
      <c r="AP18" s="29"/>
      <c r="AQ18" s="29"/>
      <c r="AR18" s="29"/>
      <c r="AS18" s="29"/>
      <c r="AT18" s="29"/>
      <c r="AU18" s="29"/>
      <c r="AV18" s="29"/>
      <c r="AW18" s="29"/>
      <c r="AX18" s="40"/>
    </row>
    <row r="19" customFormat="false" ht="15" hidden="false" customHeight="true" outlineLevel="0" collapsed="false">
      <c r="A19" s="31"/>
      <c r="C19" s="80" t="s">
        <v>1270</v>
      </c>
      <c r="D19" s="32"/>
      <c r="E19" s="73" t="s">
        <v>80</v>
      </c>
      <c r="M19" s="32"/>
      <c r="O19" s="81" t="n">
        <f aca="false">v_s1a_medical_allowance_inc</f>
        <v>0</v>
      </c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31"/>
      <c r="AC19" s="81" t="n">
        <f aca="false">v_s1a_medical_allowance_exm</f>
        <v>0</v>
      </c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31"/>
      <c r="AP19" s="81" t="str">
        <f aca="false">v_s1a_medical_allowance_tax</f>
        <v/>
      </c>
      <c r="AQ19" s="81"/>
      <c r="AR19" s="81"/>
      <c r="AS19" s="81"/>
      <c r="AT19" s="81"/>
      <c r="AU19" s="81"/>
      <c r="AV19" s="81"/>
      <c r="AW19" s="81"/>
      <c r="AX19" s="81"/>
      <c r="AY19" s="31"/>
    </row>
    <row r="20" customFormat="false" ht="2.25" hidden="false" customHeight="true" outlineLevel="0" collapsed="false">
      <c r="A20" s="43"/>
      <c r="B20" s="29"/>
      <c r="C20" s="29"/>
      <c r="D20" s="40"/>
      <c r="E20" s="29"/>
      <c r="F20" s="29"/>
      <c r="G20" s="29"/>
      <c r="H20" s="29"/>
      <c r="I20" s="29"/>
      <c r="J20" s="29"/>
      <c r="K20" s="29"/>
      <c r="L20" s="29"/>
      <c r="M20" s="40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40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40"/>
      <c r="AO20" s="29"/>
      <c r="AP20" s="29"/>
      <c r="AQ20" s="29"/>
      <c r="AR20" s="29"/>
      <c r="AS20" s="29"/>
      <c r="AT20" s="29"/>
      <c r="AU20" s="29"/>
      <c r="AV20" s="29"/>
      <c r="AW20" s="29"/>
      <c r="AX20" s="40"/>
    </row>
    <row r="21" customFormat="false" ht="15" hidden="false" customHeight="true" outlineLevel="0" collapsed="false">
      <c r="A21" s="31"/>
      <c r="C21" s="80" t="s">
        <v>1310</v>
      </c>
      <c r="D21" s="32"/>
      <c r="E21" s="73" t="s">
        <v>81</v>
      </c>
      <c r="M21" s="32"/>
      <c r="O21" s="81" t="n">
        <f aca="false">v_s1a_conveyance_allowance_inc</f>
        <v>0</v>
      </c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31"/>
      <c r="AC21" s="81" t="n">
        <f aca="false">v_s1a_conveyance_allowance_exm</f>
        <v>0</v>
      </c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31"/>
      <c r="AP21" s="81" t="str">
        <f aca="false">v_s1a_conveyance_allowance_tax</f>
        <v/>
      </c>
      <c r="AQ21" s="81"/>
      <c r="AR21" s="81"/>
      <c r="AS21" s="81"/>
      <c r="AT21" s="81"/>
      <c r="AU21" s="81"/>
      <c r="AV21" s="81"/>
      <c r="AW21" s="81"/>
      <c r="AX21" s="81"/>
      <c r="AY21" s="31"/>
    </row>
    <row r="22" customFormat="false" ht="2.25" hidden="false" customHeight="true" outlineLevel="0" collapsed="false">
      <c r="A22" s="43"/>
      <c r="B22" s="29"/>
      <c r="C22" s="29"/>
      <c r="D22" s="40"/>
      <c r="E22" s="29"/>
      <c r="F22" s="29"/>
      <c r="G22" s="29"/>
      <c r="H22" s="29"/>
      <c r="I22" s="29"/>
      <c r="J22" s="29"/>
      <c r="K22" s="29"/>
      <c r="L22" s="29"/>
      <c r="M22" s="40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40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40"/>
      <c r="AO22" s="29"/>
      <c r="AP22" s="29"/>
      <c r="AQ22" s="29"/>
      <c r="AR22" s="29"/>
      <c r="AS22" s="29"/>
      <c r="AT22" s="29"/>
      <c r="AU22" s="29"/>
      <c r="AV22" s="29"/>
      <c r="AW22" s="29"/>
      <c r="AX22" s="40"/>
    </row>
    <row r="23" customFormat="false" ht="15.75" hidden="false" customHeight="true" outlineLevel="0" collapsed="false">
      <c r="A23" s="31"/>
      <c r="C23" s="80" t="s">
        <v>1273</v>
      </c>
      <c r="D23" s="32"/>
      <c r="E23" s="73" t="s">
        <v>1379</v>
      </c>
      <c r="M23" s="32"/>
      <c r="O23" s="81" t="n">
        <f aca="false">v_s1a_festival_allowance_inc</f>
        <v>53160</v>
      </c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31"/>
      <c r="AC23" s="81" t="str">
        <f aca="false">v_s1a_festival_allowance_exm</f>
        <v/>
      </c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31"/>
      <c r="AP23" s="81" t="n">
        <f aca="false">v_s1a_festival_allowance_tax</f>
        <v>53160</v>
      </c>
      <c r="AQ23" s="81"/>
      <c r="AR23" s="81"/>
      <c r="AS23" s="81"/>
      <c r="AT23" s="81"/>
      <c r="AU23" s="81"/>
      <c r="AV23" s="81"/>
      <c r="AW23" s="81"/>
      <c r="AX23" s="81"/>
      <c r="AY23" s="31"/>
    </row>
    <row r="24" customFormat="false" ht="1.5" hidden="false" customHeight="true" outlineLevel="0" collapsed="false">
      <c r="A24" s="43"/>
      <c r="B24" s="29"/>
      <c r="C24" s="29"/>
      <c r="D24" s="40"/>
      <c r="E24" s="29"/>
      <c r="F24" s="29"/>
      <c r="G24" s="29"/>
      <c r="H24" s="29"/>
      <c r="I24" s="29"/>
      <c r="J24" s="29"/>
      <c r="K24" s="29"/>
      <c r="L24" s="29"/>
      <c r="M24" s="40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40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40"/>
      <c r="AO24" s="29"/>
      <c r="AP24" s="29"/>
      <c r="AQ24" s="29"/>
      <c r="AR24" s="29"/>
      <c r="AS24" s="29"/>
      <c r="AT24" s="29"/>
      <c r="AU24" s="29"/>
      <c r="AV24" s="29"/>
      <c r="AW24" s="29"/>
      <c r="AX24" s="40"/>
    </row>
    <row r="25" customFormat="false" ht="15.75" hidden="false" customHeight="true" outlineLevel="0" collapsed="false">
      <c r="A25" s="31"/>
      <c r="C25" s="80" t="s">
        <v>1280</v>
      </c>
      <c r="D25" s="32"/>
      <c r="E25" s="73" t="s">
        <v>83</v>
      </c>
      <c r="M25" s="32"/>
      <c r="O25" s="81" t="n">
        <f aca="false">v_s1a_support_staff_allowance_inc</f>
        <v>0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31"/>
      <c r="AC25" s="81" t="n">
        <f aca="false">v_s1a_support_staff_allowance_exm</f>
        <v>0</v>
      </c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31"/>
      <c r="AP25" s="81" t="str">
        <f aca="false">v_s1a_support_staff_allowance_tax</f>
        <v/>
      </c>
      <c r="AQ25" s="81"/>
      <c r="AR25" s="81"/>
      <c r="AS25" s="81"/>
      <c r="AT25" s="81"/>
      <c r="AU25" s="81"/>
      <c r="AV25" s="81"/>
      <c r="AW25" s="81"/>
      <c r="AX25" s="81"/>
      <c r="AY25" s="31"/>
    </row>
    <row r="26" customFormat="false" ht="2.25" hidden="false" customHeight="true" outlineLevel="0" collapsed="false">
      <c r="A26" s="43"/>
      <c r="B26" s="29"/>
      <c r="C26" s="29"/>
      <c r="D26" s="40"/>
      <c r="E26" s="29"/>
      <c r="F26" s="29"/>
      <c r="G26" s="29"/>
      <c r="H26" s="29"/>
      <c r="I26" s="29"/>
      <c r="J26" s="29"/>
      <c r="K26" s="29"/>
      <c r="L26" s="29"/>
      <c r="M26" s="40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40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40"/>
      <c r="AO26" s="29"/>
      <c r="AP26" s="29"/>
      <c r="AQ26" s="29"/>
      <c r="AR26" s="29"/>
      <c r="AS26" s="29"/>
      <c r="AT26" s="29"/>
      <c r="AU26" s="29"/>
      <c r="AV26" s="29"/>
      <c r="AW26" s="29"/>
      <c r="AX26" s="40"/>
    </row>
    <row r="27" customFormat="false" ht="15" hidden="false" customHeight="true" outlineLevel="0" collapsed="false">
      <c r="A27" s="31"/>
      <c r="C27" s="80" t="s">
        <v>1282</v>
      </c>
      <c r="D27" s="32"/>
      <c r="E27" s="73" t="s">
        <v>84</v>
      </c>
      <c r="M27" s="32"/>
      <c r="O27" s="81" t="n">
        <f aca="false">v_s1a_leave_allowance_inc</f>
        <v>0</v>
      </c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31"/>
      <c r="AC27" s="81" t="n">
        <f aca="false">v_s1a_leave_allowance_exm</f>
        <v>0</v>
      </c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31"/>
      <c r="AP27" s="81" t="str">
        <f aca="false">v_s1a_leave_allowance_tax</f>
        <v/>
      </c>
      <c r="AQ27" s="81"/>
      <c r="AR27" s="81"/>
      <c r="AS27" s="81"/>
      <c r="AT27" s="81"/>
      <c r="AU27" s="81"/>
      <c r="AV27" s="81"/>
      <c r="AW27" s="81"/>
      <c r="AX27" s="81"/>
      <c r="AY27" s="31"/>
    </row>
    <row r="28" customFormat="false" ht="2.25" hidden="false" customHeight="true" outlineLevel="0" collapsed="false">
      <c r="A28" s="43"/>
      <c r="B28" s="29"/>
      <c r="C28" s="29"/>
      <c r="D28" s="40"/>
      <c r="E28" s="29"/>
      <c r="F28" s="29"/>
      <c r="G28" s="29"/>
      <c r="H28" s="29"/>
      <c r="I28" s="29"/>
      <c r="J28" s="29"/>
      <c r="K28" s="29"/>
      <c r="L28" s="29"/>
      <c r="M28" s="40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40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40"/>
      <c r="AO28" s="29"/>
      <c r="AP28" s="29"/>
      <c r="AQ28" s="29"/>
      <c r="AR28" s="29"/>
      <c r="AS28" s="29"/>
      <c r="AT28" s="29"/>
      <c r="AU28" s="29"/>
      <c r="AV28" s="29"/>
      <c r="AW28" s="29"/>
      <c r="AX28" s="40"/>
    </row>
    <row r="29" customFormat="false" ht="15" hidden="false" customHeight="true" outlineLevel="0" collapsed="false">
      <c r="A29" s="31"/>
      <c r="B29" s="80" t="s">
        <v>1285</v>
      </c>
      <c r="D29" s="32"/>
      <c r="E29" s="73" t="s">
        <v>1380</v>
      </c>
      <c r="M29" s="32"/>
      <c r="O29" s="81" t="n">
        <f aca="false">v_s1a_honorarium_inc</f>
        <v>0</v>
      </c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31"/>
      <c r="AC29" s="81" t="n">
        <f aca="false">v_s1a_honorarium_exm</f>
        <v>0</v>
      </c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31"/>
      <c r="AP29" s="81" t="str">
        <f aca="false">v_s1a_honorarium_tax</f>
        <v/>
      </c>
      <c r="AQ29" s="81"/>
      <c r="AR29" s="81"/>
      <c r="AS29" s="81"/>
      <c r="AT29" s="81"/>
      <c r="AU29" s="81"/>
      <c r="AV29" s="81"/>
      <c r="AW29" s="81"/>
      <c r="AX29" s="81"/>
      <c r="AY29" s="31"/>
    </row>
    <row r="30" customFormat="false" ht="2.25" hidden="false" customHeight="true" outlineLevel="0" collapsed="false">
      <c r="A30" s="43"/>
      <c r="B30" s="29"/>
      <c r="C30" s="29"/>
      <c r="D30" s="40"/>
      <c r="E30" s="29"/>
      <c r="F30" s="29"/>
      <c r="G30" s="29"/>
      <c r="H30" s="29"/>
      <c r="I30" s="29"/>
      <c r="J30" s="29"/>
      <c r="K30" s="29"/>
      <c r="L30" s="29"/>
      <c r="M30" s="40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40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40"/>
      <c r="AO30" s="29"/>
      <c r="AP30" s="29"/>
      <c r="AQ30" s="29"/>
      <c r="AR30" s="29"/>
      <c r="AS30" s="29"/>
      <c r="AT30" s="29"/>
      <c r="AU30" s="29"/>
      <c r="AV30" s="29"/>
      <c r="AW30" s="29"/>
      <c r="AX30" s="40"/>
    </row>
    <row r="31" customFormat="false" ht="15" hidden="false" customHeight="true" outlineLevel="0" collapsed="false">
      <c r="A31" s="31"/>
      <c r="B31" s="77" t="s">
        <v>1290</v>
      </c>
      <c r="C31" s="77"/>
      <c r="D31" s="32"/>
      <c r="E31" s="73" t="s">
        <v>86</v>
      </c>
      <c r="M31" s="32"/>
      <c r="O31" s="81" t="n">
        <f aca="false">v_s1a_overtime_allowance_inc</f>
        <v>0</v>
      </c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31"/>
      <c r="AC31" s="81" t="n">
        <f aca="false">v_s1a_overtime_allowance_exm</f>
        <v>0</v>
      </c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31"/>
      <c r="AP31" s="81" t="str">
        <f aca="false">v_s1a_overtime_allowance_tax</f>
        <v/>
      </c>
      <c r="AQ31" s="81"/>
      <c r="AR31" s="81"/>
      <c r="AS31" s="81"/>
      <c r="AT31" s="81"/>
      <c r="AU31" s="81"/>
      <c r="AV31" s="81"/>
      <c r="AW31" s="81"/>
      <c r="AX31" s="81"/>
      <c r="AY31" s="31"/>
    </row>
    <row r="32" customFormat="false" ht="2.25" hidden="false" customHeight="true" outlineLevel="0" collapsed="false">
      <c r="A32" s="43"/>
      <c r="B32" s="77"/>
      <c r="C32" s="77"/>
      <c r="D32" s="40"/>
      <c r="E32" s="29"/>
      <c r="F32" s="29"/>
      <c r="G32" s="29"/>
      <c r="H32" s="29"/>
      <c r="I32" s="29"/>
      <c r="J32" s="29"/>
      <c r="K32" s="29"/>
      <c r="L32" s="29"/>
      <c r="M32" s="40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40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40"/>
      <c r="AO32" s="29"/>
      <c r="AP32" s="29"/>
      <c r="AQ32" s="29"/>
      <c r="AR32" s="29"/>
      <c r="AS32" s="29"/>
      <c r="AT32" s="29"/>
      <c r="AU32" s="29"/>
      <c r="AV32" s="29"/>
      <c r="AW32" s="29"/>
      <c r="AX32" s="40"/>
    </row>
    <row r="33" customFormat="false" ht="15.75" hidden="false" customHeight="true" outlineLevel="0" collapsed="false">
      <c r="A33" s="31"/>
      <c r="B33" s="84" t="s">
        <v>1293</v>
      </c>
      <c r="C33" s="83"/>
      <c r="D33" s="32"/>
      <c r="E33" s="73" t="s">
        <v>1381</v>
      </c>
      <c r="M33" s="32"/>
      <c r="O33" s="81" t="n">
        <f aca="false">v_s1a_baishakhi_allowance_inc</f>
        <v>5308</v>
      </c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31"/>
      <c r="AC33" s="81" t="n">
        <f aca="false">v_s1a_baishakhi_allowance_exm</f>
        <v>5308</v>
      </c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31"/>
      <c r="AP33" s="81" t="str">
        <f aca="false">v_s1a_baishakhi_allowance_tax</f>
        <v/>
      </c>
      <c r="AQ33" s="81"/>
      <c r="AR33" s="81"/>
      <c r="AS33" s="81"/>
      <c r="AT33" s="81"/>
      <c r="AU33" s="81"/>
      <c r="AV33" s="81"/>
      <c r="AW33" s="81"/>
      <c r="AX33" s="81"/>
      <c r="AY33" s="31"/>
    </row>
    <row r="34" customFormat="false" ht="1.5" hidden="false" customHeight="true" outlineLevel="0" collapsed="false">
      <c r="A34" s="43"/>
      <c r="B34" s="29"/>
      <c r="C34" s="29"/>
      <c r="D34" s="40"/>
      <c r="E34" s="29"/>
      <c r="F34" s="29"/>
      <c r="G34" s="29"/>
      <c r="H34" s="29"/>
      <c r="I34" s="29"/>
      <c r="J34" s="29"/>
      <c r="K34" s="29"/>
      <c r="L34" s="29"/>
      <c r="M34" s="40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40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40"/>
      <c r="AO34" s="29"/>
      <c r="AP34" s="29"/>
      <c r="AQ34" s="29"/>
      <c r="AR34" s="29"/>
      <c r="AS34" s="29"/>
      <c r="AT34" s="29"/>
      <c r="AU34" s="29"/>
      <c r="AV34" s="29"/>
      <c r="AW34" s="29"/>
      <c r="AX34" s="40"/>
    </row>
    <row r="35" customFormat="false" ht="15.75" hidden="false" customHeight="true" outlineLevel="0" collapsed="false">
      <c r="A35" s="31"/>
      <c r="B35" s="80" t="s">
        <v>1296</v>
      </c>
      <c r="D35" s="32"/>
      <c r="E35" s="73" t="s">
        <v>88</v>
      </c>
      <c r="M35" s="32"/>
      <c r="O35" s="81" t="n">
        <f aca="false">v_s1a_pf_interest_inc</f>
        <v>0</v>
      </c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31"/>
      <c r="AC35" s="81" t="n">
        <f aca="false">v_s1a_pf_interest_exm</f>
        <v>0</v>
      </c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31"/>
      <c r="AP35" s="81" t="str">
        <f aca="false">v_s1a_pf_interest_tax</f>
        <v/>
      </c>
      <c r="AQ35" s="81"/>
      <c r="AR35" s="81"/>
      <c r="AS35" s="81"/>
      <c r="AT35" s="81"/>
      <c r="AU35" s="81"/>
      <c r="AV35" s="81"/>
      <c r="AW35" s="81"/>
      <c r="AX35" s="81"/>
      <c r="AY35" s="31"/>
    </row>
    <row r="36" customFormat="false" ht="2.25" hidden="false" customHeight="true" outlineLevel="0" collapsed="false">
      <c r="A36" s="43"/>
      <c r="B36" s="29"/>
      <c r="C36" s="29"/>
      <c r="D36" s="40"/>
      <c r="E36" s="29"/>
      <c r="F36" s="29"/>
      <c r="G36" s="29"/>
      <c r="H36" s="29"/>
      <c r="I36" s="29"/>
      <c r="J36" s="29"/>
      <c r="K36" s="29"/>
      <c r="L36" s="29"/>
      <c r="M36" s="40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40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40"/>
      <c r="AO36" s="29"/>
      <c r="AP36" s="29"/>
      <c r="AQ36" s="29"/>
      <c r="AR36" s="29"/>
      <c r="AS36" s="29"/>
      <c r="AT36" s="29"/>
      <c r="AU36" s="29"/>
      <c r="AV36" s="29"/>
      <c r="AW36" s="29"/>
      <c r="AX36" s="40"/>
    </row>
    <row r="37" customFormat="false" ht="15" hidden="false" customHeight="true" outlineLevel="0" collapsed="false">
      <c r="A37" s="31"/>
      <c r="B37" s="80" t="s">
        <v>1322</v>
      </c>
      <c r="D37" s="32"/>
      <c r="E37" s="73" t="s">
        <v>89</v>
      </c>
      <c r="M37" s="32"/>
      <c r="O37" s="81" t="n">
        <f aca="false">v_s1a_lamp_grant_inc</f>
        <v>0</v>
      </c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31"/>
      <c r="AC37" s="81" t="n">
        <f aca="false">v_s1a_lamp_grant_exm</f>
        <v>0</v>
      </c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31"/>
      <c r="AP37" s="81" t="str">
        <f aca="false">v_s1a_lamp_grant_tax</f>
        <v/>
      </c>
      <c r="AQ37" s="81"/>
      <c r="AR37" s="81"/>
      <c r="AS37" s="81"/>
      <c r="AT37" s="81"/>
      <c r="AU37" s="81"/>
      <c r="AV37" s="81"/>
      <c r="AW37" s="81"/>
      <c r="AX37" s="81"/>
      <c r="AY37" s="31"/>
    </row>
    <row r="38" customFormat="false" ht="2.25" hidden="false" customHeight="true" outlineLevel="0" collapsed="false">
      <c r="A38" s="43"/>
      <c r="B38" s="29"/>
      <c r="C38" s="29"/>
      <c r="D38" s="40"/>
      <c r="E38" s="29"/>
      <c r="F38" s="29"/>
      <c r="G38" s="29"/>
      <c r="H38" s="29"/>
      <c r="I38" s="29"/>
      <c r="J38" s="29"/>
      <c r="K38" s="29"/>
      <c r="L38" s="29"/>
      <c r="M38" s="40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40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40"/>
      <c r="AO38" s="29"/>
      <c r="AP38" s="29"/>
      <c r="AQ38" s="29"/>
      <c r="AR38" s="29"/>
      <c r="AS38" s="29"/>
      <c r="AT38" s="29"/>
      <c r="AU38" s="29"/>
      <c r="AV38" s="29"/>
      <c r="AW38" s="29"/>
      <c r="AX38" s="40"/>
    </row>
    <row r="39" customFormat="false" ht="15" hidden="false" customHeight="true" outlineLevel="0" collapsed="false">
      <c r="A39" s="31"/>
      <c r="B39" s="80" t="s">
        <v>1324</v>
      </c>
      <c r="D39" s="32"/>
      <c r="E39" s="73" t="s">
        <v>90</v>
      </c>
      <c r="M39" s="32"/>
      <c r="O39" s="81" t="n">
        <f aca="false">v_s1a_gratuity_inc</f>
        <v>0</v>
      </c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31"/>
      <c r="AC39" s="81" t="n">
        <f aca="false">v_s1a_gratuity_exm</f>
        <v>0</v>
      </c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31"/>
      <c r="AP39" s="81" t="str">
        <f aca="false">v_s1a_gratuity_tax</f>
        <v/>
      </c>
      <c r="AQ39" s="81"/>
      <c r="AR39" s="81"/>
      <c r="AS39" s="81"/>
      <c r="AT39" s="81"/>
      <c r="AU39" s="81"/>
      <c r="AV39" s="81"/>
      <c r="AW39" s="81"/>
      <c r="AX39" s="81"/>
      <c r="AY39" s="31"/>
    </row>
    <row r="40" customFormat="false" ht="2.25" hidden="false" customHeight="true" outlineLevel="0" collapsed="false">
      <c r="A40" s="43"/>
      <c r="B40" s="29"/>
      <c r="C40" s="29"/>
      <c r="D40" s="40"/>
      <c r="E40" s="29"/>
      <c r="F40" s="29"/>
      <c r="G40" s="29"/>
      <c r="H40" s="29"/>
      <c r="I40" s="29"/>
      <c r="J40" s="29"/>
      <c r="K40" s="29"/>
      <c r="L40" s="29"/>
      <c r="M40" s="4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40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40"/>
      <c r="AO40" s="29"/>
      <c r="AP40" s="29"/>
      <c r="AQ40" s="29"/>
      <c r="AR40" s="29"/>
      <c r="AS40" s="29"/>
      <c r="AT40" s="29"/>
      <c r="AU40" s="29"/>
      <c r="AV40" s="29"/>
      <c r="AW40" s="29"/>
      <c r="AX40" s="40"/>
    </row>
    <row r="41" customFormat="false" ht="15" hidden="false" customHeight="true" outlineLevel="0" collapsed="false">
      <c r="A41" s="31"/>
      <c r="B41" s="77" t="s">
        <v>1325</v>
      </c>
      <c r="C41" s="77"/>
      <c r="D41" s="32"/>
      <c r="E41" s="73" t="s">
        <v>1382</v>
      </c>
      <c r="M41" s="32"/>
      <c r="O41" s="81" t="n">
        <f aca="false">v_s1a_others_inc</f>
        <v>0</v>
      </c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31"/>
      <c r="AC41" s="81" t="n">
        <f aca="false">v_s1a_others_exm</f>
        <v>0</v>
      </c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31"/>
      <c r="AP41" s="81" t="str">
        <f aca="false">v_s1a_others_tax</f>
        <v/>
      </c>
      <c r="AQ41" s="81"/>
      <c r="AR41" s="81"/>
      <c r="AS41" s="81"/>
      <c r="AT41" s="81"/>
      <c r="AU41" s="81"/>
      <c r="AV41" s="81"/>
      <c r="AW41" s="81"/>
      <c r="AX41" s="81"/>
      <c r="AY41" s="31"/>
    </row>
    <row r="42" customFormat="false" ht="2.25" hidden="false" customHeight="true" outlineLevel="0" collapsed="false">
      <c r="A42" s="43"/>
      <c r="B42" s="77"/>
      <c r="C42" s="77"/>
      <c r="D42" s="40"/>
      <c r="E42" s="29"/>
      <c r="F42" s="29"/>
      <c r="G42" s="29"/>
      <c r="H42" s="29"/>
      <c r="I42" s="29"/>
      <c r="J42" s="29"/>
      <c r="K42" s="29"/>
      <c r="L42" s="29"/>
      <c r="M42" s="40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40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40"/>
      <c r="AO42" s="29"/>
      <c r="AP42" s="29"/>
      <c r="AQ42" s="29"/>
      <c r="AR42" s="29"/>
      <c r="AS42" s="29"/>
      <c r="AT42" s="29"/>
      <c r="AU42" s="29"/>
      <c r="AV42" s="29"/>
      <c r="AW42" s="29"/>
      <c r="AX42" s="40"/>
    </row>
    <row r="43" customFormat="false" ht="15.75" hidden="false" customHeight="true" outlineLevel="0" collapsed="false">
      <c r="A43" s="31"/>
      <c r="B43" s="84" t="s">
        <v>1328</v>
      </c>
      <c r="C43" s="83"/>
      <c r="D43" s="32"/>
      <c r="E43" s="72" t="s">
        <v>1383</v>
      </c>
      <c r="M43" s="32"/>
      <c r="O43" s="85" t="n">
        <f aca="false">v_s1a_inc</f>
        <v>521116</v>
      </c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31"/>
      <c r="AC43" s="85" t="n">
        <f aca="false">v_s1a_exm</f>
        <v>5308</v>
      </c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31"/>
      <c r="AP43" s="85" t="n">
        <f aca="false">v_s1a_tax</f>
        <v>515808</v>
      </c>
      <c r="AQ43" s="85"/>
      <c r="AR43" s="85"/>
      <c r="AS43" s="85"/>
      <c r="AT43" s="85"/>
      <c r="AU43" s="85"/>
      <c r="AV43" s="85"/>
      <c r="AW43" s="85"/>
      <c r="AX43" s="85"/>
      <c r="AY43" s="31"/>
    </row>
    <row r="44" customFormat="false" ht="2.25" hidden="false" customHeight="true" outlineLevel="0" collapsed="false">
      <c r="A44" s="43"/>
      <c r="B44" s="29"/>
      <c r="C44" s="29"/>
      <c r="D44" s="40"/>
      <c r="E44" s="29"/>
      <c r="F44" s="29"/>
      <c r="G44" s="29"/>
      <c r="H44" s="29"/>
      <c r="I44" s="29"/>
      <c r="J44" s="29"/>
      <c r="K44" s="29"/>
      <c r="L44" s="29"/>
      <c r="M44" s="40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40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40"/>
      <c r="AO44" s="29"/>
      <c r="AP44" s="29"/>
      <c r="AQ44" s="29"/>
      <c r="AR44" s="29"/>
      <c r="AS44" s="29"/>
      <c r="AT44" s="29"/>
      <c r="AU44" s="29"/>
      <c r="AV44" s="29"/>
      <c r="AW44" s="29"/>
      <c r="AX44" s="40"/>
    </row>
    <row r="45" customFormat="false" ht="24" hidden="false" customHeight="true" outlineLevel="0" collapsed="false">
      <c r="D45" s="86" t="s">
        <v>1384</v>
      </c>
    </row>
    <row r="46" customFormat="false" ht="15.75" hidden="false" customHeight="true" outlineLevel="0" collapsed="false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</row>
    <row r="47" customFormat="false" ht="14.25" hidden="false" customHeight="true" outlineLevel="0" collapsed="false">
      <c r="A47" s="43"/>
      <c r="B47" s="87" t="s">
        <v>1371</v>
      </c>
      <c r="C47" s="29"/>
      <c r="D47" s="40"/>
      <c r="E47" s="79" t="s">
        <v>1372</v>
      </c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40"/>
      <c r="AA47" s="29"/>
      <c r="AB47" s="29"/>
      <c r="AC47" s="29"/>
      <c r="AD47" s="79" t="s">
        <v>1373</v>
      </c>
      <c r="AE47" s="29"/>
      <c r="AF47" s="29"/>
      <c r="AG47" s="29"/>
      <c r="AH47" s="29"/>
      <c r="AI47" s="29"/>
      <c r="AJ47" s="79" t="s">
        <v>1251</v>
      </c>
      <c r="AK47" s="29"/>
      <c r="AL47" s="29"/>
      <c r="AM47" s="29"/>
      <c r="AN47" s="40"/>
      <c r="AO47" s="29"/>
      <c r="AP47" s="29"/>
      <c r="AQ47" s="79" t="s">
        <v>1373</v>
      </c>
      <c r="AR47" s="29"/>
      <c r="AS47" s="29"/>
      <c r="AT47" s="29"/>
      <c r="AU47" s="29"/>
      <c r="AV47" s="79" t="s">
        <v>1251</v>
      </c>
      <c r="AW47" s="29"/>
      <c r="AX47" s="40"/>
    </row>
    <row r="48" customFormat="false" ht="15.75" hidden="false" customHeight="true" outlineLevel="0" collapsed="false">
      <c r="A48" s="31"/>
      <c r="C48" s="80" t="s">
        <v>1264</v>
      </c>
      <c r="D48" s="32"/>
      <c r="E48" s="73" t="s">
        <v>76</v>
      </c>
      <c r="Z48" s="32"/>
      <c r="AC48" s="81" t="n">
        <f aca="false">v_s1b_basic_pay</f>
        <v>0</v>
      </c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31"/>
      <c r="AX48" s="32"/>
    </row>
    <row r="49" customFormat="false" ht="1.5" hidden="false" customHeight="true" outlineLevel="0" collapsed="false">
      <c r="A49" s="43"/>
      <c r="B49" s="29"/>
      <c r="C49" s="29"/>
      <c r="D49" s="40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40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40"/>
      <c r="AX49" s="32"/>
    </row>
    <row r="50" customFormat="false" ht="15.75" hidden="false" customHeight="true" outlineLevel="0" collapsed="false">
      <c r="A50" s="31"/>
      <c r="C50" s="80" t="s">
        <v>1265</v>
      </c>
      <c r="D50" s="32"/>
      <c r="E50" s="73" t="s">
        <v>94</v>
      </c>
      <c r="Z50" s="32"/>
      <c r="AC50" s="81" t="n">
        <f aca="false">v_s1b_allowances</f>
        <v>0</v>
      </c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31"/>
      <c r="AX50" s="32"/>
    </row>
    <row r="51" customFormat="false" ht="2.25" hidden="false" customHeight="true" outlineLevel="0" collapsed="false">
      <c r="A51" s="43"/>
      <c r="B51" s="29"/>
      <c r="C51" s="29"/>
      <c r="D51" s="40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40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40"/>
      <c r="AX51" s="32"/>
    </row>
    <row r="52" customFormat="false" ht="15" hidden="false" customHeight="true" outlineLevel="0" collapsed="false">
      <c r="A52" s="31"/>
      <c r="C52" s="80" t="s">
        <v>1266</v>
      </c>
      <c r="D52" s="32"/>
      <c r="E52" s="73" t="s">
        <v>1385</v>
      </c>
      <c r="Z52" s="32"/>
      <c r="AC52" s="81" t="str">
        <f aca="false">IF(N(v_s1b_advance_salary)=0,"",v_s1b_advance_salary)</f>
        <v/>
      </c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31"/>
      <c r="AX52" s="32"/>
    </row>
    <row r="53" customFormat="false" ht="2.25" hidden="false" customHeight="true" outlineLevel="0" collapsed="false">
      <c r="A53" s="43"/>
      <c r="B53" s="29"/>
      <c r="C53" s="29"/>
      <c r="D53" s="40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40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40"/>
      <c r="AX53" s="32"/>
    </row>
    <row r="54" customFormat="false" ht="15" hidden="false" customHeight="true" outlineLevel="0" collapsed="false">
      <c r="A54" s="31"/>
      <c r="C54" s="80" t="s">
        <v>1267</v>
      </c>
      <c r="D54" s="32"/>
      <c r="E54" s="73" t="s">
        <v>1386</v>
      </c>
      <c r="Z54" s="32"/>
      <c r="AC54" s="81" t="str">
        <f aca="false">IF(N(v_s1b_gratuity_pension)=0,"",v_s1b_gratuity_pension)</f>
        <v/>
      </c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31"/>
      <c r="AX54" s="32"/>
    </row>
    <row r="55" customFormat="false" ht="2.25" hidden="false" customHeight="true" outlineLevel="0" collapsed="false">
      <c r="A55" s="43"/>
      <c r="B55" s="29"/>
      <c r="C55" s="29"/>
      <c r="D55" s="40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40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40"/>
      <c r="AX55" s="32"/>
    </row>
    <row r="56" customFormat="false" ht="15" hidden="false" customHeight="true" outlineLevel="0" collapsed="false">
      <c r="A56" s="31"/>
      <c r="C56" s="77" t="s">
        <v>1270</v>
      </c>
      <c r="D56" s="32"/>
      <c r="E56" s="73" t="s">
        <v>97</v>
      </c>
      <c r="Z56" s="32"/>
      <c r="AC56" s="81" t="str">
        <f aca="false">IF(N(v_s1b_perquisites)=0,"",v_s1b_perquisites)</f>
        <v/>
      </c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31"/>
      <c r="AX56" s="32"/>
    </row>
    <row r="57" customFormat="false" ht="2.25" hidden="false" customHeight="true" outlineLevel="0" collapsed="false">
      <c r="A57" s="43"/>
      <c r="B57" s="29"/>
      <c r="C57" s="77"/>
      <c r="D57" s="40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40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40"/>
      <c r="AX57" s="32"/>
    </row>
    <row r="58" customFormat="false" ht="15.75" hidden="false" customHeight="true" outlineLevel="0" collapsed="false">
      <c r="A58" s="31"/>
      <c r="C58" s="84" t="s">
        <v>1310</v>
      </c>
      <c r="D58" s="32"/>
      <c r="E58" s="73" t="s">
        <v>1387</v>
      </c>
      <c r="Z58" s="32"/>
      <c r="AC58" s="81" t="str">
        <f aca="false">IF(N(v_s1b_in_lieu_of_salary)=0,"",v_s1b_in_lieu_of_salary)</f>
        <v/>
      </c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31"/>
      <c r="AX58" s="32"/>
    </row>
    <row r="59" customFormat="false" ht="1.5" hidden="false" customHeight="true" outlineLevel="0" collapsed="false">
      <c r="A59" s="43"/>
      <c r="B59" s="29"/>
      <c r="C59" s="29"/>
      <c r="D59" s="40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40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40"/>
      <c r="AP59" s="81" t="n">
        <f aca="false">v_s1b_sub</f>
        <v>0</v>
      </c>
      <c r="AQ59" s="81"/>
      <c r="AR59" s="81"/>
      <c r="AS59" s="81"/>
      <c r="AT59" s="81"/>
      <c r="AU59" s="81"/>
      <c r="AV59" s="81"/>
      <c r="AW59" s="81"/>
      <c r="AX59" s="81"/>
      <c r="AY59" s="31"/>
    </row>
    <row r="60" customFormat="false" ht="7.5" hidden="false" customHeight="true" outlineLevel="0" collapsed="false">
      <c r="A60" s="31"/>
      <c r="C60" s="77" t="s">
        <v>1273</v>
      </c>
      <c r="D60" s="32"/>
      <c r="E60" s="78" t="s">
        <v>1388</v>
      </c>
      <c r="F60" s="78"/>
      <c r="G60" s="78"/>
      <c r="H60" s="78"/>
      <c r="I60" s="78"/>
      <c r="Z60" s="32"/>
      <c r="AC60" s="81" t="str">
        <f aca="false">IF(N(v_s1b_employee_share_scheme)=0,"",v_s1b_employee_share_scheme)</f>
        <v/>
      </c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31"/>
      <c r="AP60" s="81"/>
      <c r="AQ60" s="81"/>
      <c r="AR60" s="81"/>
      <c r="AS60" s="81"/>
      <c r="AT60" s="81"/>
      <c r="AU60" s="81"/>
      <c r="AV60" s="81"/>
      <c r="AW60" s="81"/>
      <c r="AX60" s="81"/>
      <c r="AY60" s="31"/>
    </row>
    <row r="61" customFormat="false" ht="8.25" hidden="false" customHeight="true" outlineLevel="0" collapsed="false">
      <c r="A61" s="31"/>
      <c r="C61" s="77"/>
      <c r="D61" s="32"/>
      <c r="E61" s="78"/>
      <c r="F61" s="78"/>
      <c r="G61" s="78"/>
      <c r="H61" s="78"/>
      <c r="I61" s="78"/>
      <c r="Z61" s="32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31"/>
      <c r="AX61" s="32"/>
    </row>
    <row r="62" customFormat="false" ht="2.25" hidden="false" customHeight="true" outlineLevel="0" collapsed="false">
      <c r="A62" s="43"/>
      <c r="B62" s="29"/>
      <c r="C62" s="29"/>
      <c r="D62" s="40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40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40"/>
      <c r="AX62" s="32"/>
    </row>
    <row r="63" customFormat="false" ht="15" hidden="false" customHeight="true" outlineLevel="0" collapsed="false">
      <c r="A63" s="31"/>
      <c r="C63" s="80" t="s">
        <v>1280</v>
      </c>
      <c r="D63" s="32"/>
      <c r="E63" s="73" t="s">
        <v>1389</v>
      </c>
      <c r="Z63" s="32"/>
      <c r="AC63" s="81" t="str">
        <f aca="false">IF(N(v_s1b_accommodation)=0,"",v_s1b_accommodation)</f>
        <v/>
      </c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31"/>
      <c r="AX63" s="32"/>
    </row>
    <row r="64" customFormat="false" ht="2.25" hidden="false" customHeight="true" outlineLevel="0" collapsed="false">
      <c r="A64" s="43"/>
      <c r="B64" s="29"/>
      <c r="C64" s="29"/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40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40"/>
      <c r="AX64" s="32"/>
    </row>
    <row r="65" customFormat="false" ht="15" hidden="false" customHeight="true" outlineLevel="0" collapsed="false">
      <c r="A65" s="31"/>
      <c r="C65" s="80" t="s">
        <v>1282</v>
      </c>
      <c r="D65" s="32"/>
      <c r="E65" s="73" t="s">
        <v>1390</v>
      </c>
      <c r="Z65" s="32"/>
      <c r="AC65" s="81" t="str">
        <f aca="false">IF(N(v_s1b_car_benefit)=0,"",v_s1b_car_benefit)</f>
        <v/>
      </c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31"/>
      <c r="AX65" s="32"/>
    </row>
    <row r="66" customFormat="false" ht="2.25" hidden="false" customHeight="true" outlineLevel="0" collapsed="false">
      <c r="A66" s="43"/>
      <c r="B66" s="29"/>
      <c r="C66" s="29"/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40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40"/>
      <c r="AX66" s="32"/>
    </row>
    <row r="67" customFormat="false" ht="15" hidden="false" customHeight="true" outlineLevel="0" collapsed="false">
      <c r="A67" s="31"/>
      <c r="B67" s="77" t="s">
        <v>1285</v>
      </c>
      <c r="C67" s="77"/>
      <c r="D67" s="32"/>
      <c r="E67" s="73" t="s">
        <v>1391</v>
      </c>
      <c r="Z67" s="32"/>
      <c r="AC67" s="81" t="str">
        <f aca="false">IF(N(v_s1b_other_benefits)=0,"",v_s1b_other_benefits)</f>
        <v/>
      </c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31"/>
      <c r="AX67" s="32"/>
    </row>
    <row r="68" customFormat="false" ht="2.25" hidden="false" customHeight="true" outlineLevel="0" collapsed="false">
      <c r="A68" s="43"/>
      <c r="B68" s="77"/>
      <c r="C68" s="77"/>
      <c r="D68" s="40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40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40"/>
      <c r="AX68" s="32"/>
    </row>
    <row r="69" customFormat="false" ht="15.75" hidden="false" customHeight="true" outlineLevel="0" collapsed="false">
      <c r="A69" s="31"/>
      <c r="B69" s="84" t="s">
        <v>1290</v>
      </c>
      <c r="C69" s="83"/>
      <c r="D69" s="32"/>
      <c r="E69" s="73" t="s">
        <v>1392</v>
      </c>
      <c r="Z69" s="32"/>
      <c r="AC69" s="81" t="str">
        <f aca="false">IF(N(v_s1b_employer_pf_contribution)=0,"",v_s1b_employer_pf_contribution)</f>
        <v/>
      </c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31"/>
      <c r="AX69" s="32"/>
    </row>
    <row r="70" customFormat="false" ht="1.5" hidden="false" customHeight="true" outlineLevel="0" collapsed="false">
      <c r="A70" s="43"/>
      <c r="B70" s="29"/>
      <c r="C70" s="29"/>
      <c r="D70" s="40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40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40"/>
      <c r="AX70" s="32"/>
    </row>
    <row r="71" customFormat="false" ht="15.75" hidden="false" customHeight="true" outlineLevel="0" collapsed="false">
      <c r="A71" s="31"/>
      <c r="B71" s="80" t="s">
        <v>1293</v>
      </c>
      <c r="D71" s="32"/>
      <c r="E71" s="73" t="s">
        <v>91</v>
      </c>
      <c r="Z71" s="32"/>
      <c r="AC71" s="81" t="str">
        <f aca="false">IF(N(v_s1b_others)=0,"",v_s1b_others)</f>
        <v/>
      </c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31"/>
      <c r="AX71" s="32"/>
    </row>
    <row r="72" customFormat="false" ht="2.25" hidden="false" customHeight="true" outlineLevel="0" collapsed="false">
      <c r="A72" s="43"/>
      <c r="B72" s="29"/>
      <c r="C72" s="29"/>
      <c r="D72" s="40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40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40"/>
      <c r="AO72" s="29"/>
      <c r="AP72" s="29"/>
      <c r="AQ72" s="29"/>
      <c r="AR72" s="29"/>
      <c r="AS72" s="29"/>
      <c r="AT72" s="29"/>
      <c r="AU72" s="29"/>
      <c r="AV72" s="29"/>
      <c r="AW72" s="29"/>
      <c r="AX72" s="40"/>
    </row>
    <row r="73" customFormat="false" ht="15" hidden="false" customHeight="true" outlineLevel="0" collapsed="false">
      <c r="A73" s="31"/>
      <c r="B73" s="80" t="s">
        <v>1296</v>
      </c>
      <c r="D73" s="32"/>
      <c r="E73" s="72" t="s">
        <v>1393</v>
      </c>
      <c r="Z73" s="32"/>
      <c r="AN73" s="32"/>
      <c r="AP73" s="85" t="n">
        <f aca="false">v_s1b_total</f>
        <v>0</v>
      </c>
      <c r="AQ73" s="85"/>
      <c r="AR73" s="85"/>
      <c r="AS73" s="85"/>
      <c r="AT73" s="85"/>
      <c r="AU73" s="85"/>
      <c r="AV73" s="85"/>
      <c r="AW73" s="85"/>
      <c r="AX73" s="85"/>
      <c r="AY73" s="31"/>
    </row>
    <row r="74" customFormat="false" ht="2.25" hidden="false" customHeight="true" outlineLevel="0" collapsed="false">
      <c r="A74" s="43"/>
      <c r="B74" s="29"/>
      <c r="C74" s="29"/>
      <c r="D74" s="40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40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40"/>
      <c r="AO74" s="29"/>
      <c r="AP74" s="29"/>
      <c r="AQ74" s="29"/>
      <c r="AR74" s="29"/>
      <c r="AS74" s="29"/>
      <c r="AT74" s="29"/>
      <c r="AU74" s="29"/>
      <c r="AV74" s="29"/>
      <c r="AW74" s="29"/>
      <c r="AX74" s="40"/>
    </row>
    <row r="75" customFormat="false" ht="15" hidden="false" customHeight="true" outlineLevel="0" collapsed="false">
      <c r="A75" s="31"/>
      <c r="B75" s="80" t="s">
        <v>1322</v>
      </c>
      <c r="D75" s="32"/>
      <c r="E75" s="73" t="s">
        <v>1394</v>
      </c>
      <c r="Z75" s="32"/>
      <c r="AN75" s="32"/>
      <c r="AP75" s="81" t="n">
        <f aca="false">v_s1b_exempt</f>
        <v>0</v>
      </c>
      <c r="AQ75" s="81"/>
      <c r="AR75" s="81"/>
      <c r="AS75" s="81"/>
      <c r="AT75" s="81"/>
      <c r="AU75" s="81"/>
      <c r="AV75" s="81"/>
      <c r="AW75" s="81"/>
      <c r="AX75" s="81"/>
      <c r="AY75" s="31"/>
    </row>
    <row r="76" customFormat="false" ht="2.25" hidden="false" customHeight="true" outlineLevel="0" collapsed="false">
      <c r="A76" s="43"/>
      <c r="B76" s="29"/>
      <c r="C76" s="29"/>
      <c r="D76" s="40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40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40"/>
      <c r="AO76" s="29"/>
      <c r="AP76" s="29"/>
      <c r="AQ76" s="29"/>
      <c r="AR76" s="29"/>
      <c r="AS76" s="29"/>
      <c r="AT76" s="29"/>
      <c r="AU76" s="29"/>
      <c r="AV76" s="29"/>
      <c r="AW76" s="29"/>
      <c r="AX76" s="40"/>
    </row>
    <row r="77" customFormat="false" ht="15" hidden="false" customHeight="true" outlineLevel="0" collapsed="false">
      <c r="A77" s="31"/>
      <c r="B77" s="80" t="s">
        <v>1324</v>
      </c>
      <c r="D77" s="32"/>
      <c r="E77" s="73" t="s">
        <v>1395</v>
      </c>
      <c r="Z77" s="32"/>
      <c r="AN77" s="32"/>
      <c r="AP77" s="81" t="n">
        <f aca="false">v_s1b_net</f>
        <v>0</v>
      </c>
      <c r="AQ77" s="81"/>
      <c r="AR77" s="81"/>
      <c r="AS77" s="81"/>
      <c r="AT77" s="81"/>
      <c r="AU77" s="81"/>
      <c r="AV77" s="81"/>
      <c r="AW77" s="81"/>
      <c r="AX77" s="81"/>
      <c r="AY77" s="31"/>
    </row>
    <row r="78" customFormat="false" ht="3" hidden="false" customHeight="true" outlineLevel="0" collapsed="false">
      <c r="A78" s="43"/>
      <c r="B78" s="29"/>
      <c r="C78" s="29"/>
      <c r="D78" s="40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40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40"/>
      <c r="AO78" s="29"/>
      <c r="AP78" s="29"/>
      <c r="AQ78" s="29"/>
      <c r="AR78" s="29"/>
      <c r="AS78" s="29"/>
      <c r="AT78" s="29"/>
      <c r="AU78" s="29"/>
      <c r="AV78" s="29"/>
      <c r="AW78" s="29"/>
      <c r="AX78" s="40"/>
    </row>
    <row r="79" customFormat="false" ht="2.25" hidden="false" customHeight="true" outlineLevel="0" collapsed="false"/>
  </sheetData>
  <sheetProtection sheet="true"/>
  <mergeCells count="83">
    <mergeCell ref="G4:AX4"/>
    <mergeCell ref="B7:C8"/>
    <mergeCell ref="E7:F8"/>
    <mergeCell ref="Q7:U8"/>
    <mergeCell ref="W7:X8"/>
    <mergeCell ref="AE8:AI9"/>
    <mergeCell ref="AK8:AL9"/>
    <mergeCell ref="AT8:AU9"/>
    <mergeCell ref="O10:Z10"/>
    <mergeCell ref="AC10:AN10"/>
    <mergeCell ref="AP10:AX10"/>
    <mergeCell ref="C12:C13"/>
    <mergeCell ref="O12:Z13"/>
    <mergeCell ref="AC12:AN13"/>
    <mergeCell ref="AP12:AX13"/>
    <mergeCell ref="E13:F14"/>
    <mergeCell ref="O15:Z15"/>
    <mergeCell ref="AC15:AN15"/>
    <mergeCell ref="AP15:AX15"/>
    <mergeCell ref="O17:Z17"/>
    <mergeCell ref="AC17:AN17"/>
    <mergeCell ref="AP17:AX17"/>
    <mergeCell ref="O19:Z19"/>
    <mergeCell ref="AC19:AN19"/>
    <mergeCell ref="AP19:AX19"/>
    <mergeCell ref="O21:Z21"/>
    <mergeCell ref="AC21:AN21"/>
    <mergeCell ref="AP21:AX21"/>
    <mergeCell ref="O23:Z23"/>
    <mergeCell ref="AC23:AN23"/>
    <mergeCell ref="AP23:AX23"/>
    <mergeCell ref="O25:Z25"/>
    <mergeCell ref="AC25:AN25"/>
    <mergeCell ref="AP25:AX25"/>
    <mergeCell ref="O27:Z27"/>
    <mergeCell ref="AC27:AN27"/>
    <mergeCell ref="AP27:AX27"/>
    <mergeCell ref="O29:Z29"/>
    <mergeCell ref="AC29:AN29"/>
    <mergeCell ref="AP29:AX29"/>
    <mergeCell ref="B31:C32"/>
    <mergeCell ref="O31:Z31"/>
    <mergeCell ref="AC31:AN31"/>
    <mergeCell ref="AP31:AX31"/>
    <mergeCell ref="O33:Z33"/>
    <mergeCell ref="AC33:AN33"/>
    <mergeCell ref="AP33:AX33"/>
    <mergeCell ref="O35:Z35"/>
    <mergeCell ref="AC35:AN35"/>
    <mergeCell ref="AP35:AX35"/>
    <mergeCell ref="O37:Z37"/>
    <mergeCell ref="AC37:AN37"/>
    <mergeCell ref="AP37:AX37"/>
    <mergeCell ref="O39:Z39"/>
    <mergeCell ref="AC39:AN39"/>
    <mergeCell ref="AP39:AX39"/>
    <mergeCell ref="B41:C42"/>
    <mergeCell ref="O41:Z41"/>
    <mergeCell ref="AC41:AN41"/>
    <mergeCell ref="AP41:AX41"/>
    <mergeCell ref="O43:Z43"/>
    <mergeCell ref="AC43:AN43"/>
    <mergeCell ref="AP43:AX43"/>
    <mergeCell ref="AC48:AN48"/>
    <mergeCell ref="AC50:AN50"/>
    <mergeCell ref="AC52:AN52"/>
    <mergeCell ref="AC54:AN54"/>
    <mergeCell ref="C56:C57"/>
    <mergeCell ref="AC56:AN56"/>
    <mergeCell ref="AC58:AN58"/>
    <mergeCell ref="AP59:AX60"/>
    <mergeCell ref="C60:C61"/>
    <mergeCell ref="E60:I61"/>
    <mergeCell ref="AC60:AN61"/>
    <mergeCell ref="AC63:AN63"/>
    <mergeCell ref="AC65:AN65"/>
    <mergeCell ref="B67:C68"/>
    <mergeCell ref="AC67:AN67"/>
    <mergeCell ref="AC69:AN69"/>
    <mergeCell ref="AC71:AN71"/>
    <mergeCell ref="AP73:AX73"/>
    <mergeCell ref="AP75:AX75"/>
    <mergeCell ref="AP77:AX77"/>
  </mergeCells>
  <printOptions headings="false" gridLines="false" gridLinesSet="true" horizontalCentered="false" verticalCentered="false"/>
  <pageMargins left="0.713194444444445" right="1.01666666666667" top="0.507638888888889" bottom="0.9180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0.25"/>
    <col collapsed="false" customWidth="true" hidden="false" outlineLevel="0" max="2" min="2" style="0" width="0.75"/>
    <col collapsed="false" customWidth="true" hidden="false" outlineLevel="0" max="3" min="3" style="0" width="2.5"/>
    <col collapsed="false" customWidth="true" hidden="false" outlineLevel="0" max="4" min="4" style="0" width="2.63"/>
    <col collapsed="false" customWidth="true" hidden="false" outlineLevel="0" max="5" min="5" style="0" width="3.25"/>
    <col collapsed="false" customWidth="true" hidden="false" outlineLevel="0" max="6" min="6" style="0" width="7.63"/>
    <col collapsed="false" customWidth="true" hidden="false" outlineLevel="0" max="7" min="7" style="0" width="0.25"/>
    <col collapsed="false" customWidth="true" hidden="false" outlineLevel="0" max="8" min="8" style="0" width="0.87"/>
    <col collapsed="false" customWidth="true" hidden="false" outlineLevel="0" max="9" min="9" style="0" width="0.62"/>
    <col collapsed="false" customWidth="true" hidden="false" outlineLevel="0" max="10" min="10" style="0" width="0.37"/>
    <col collapsed="false" customWidth="true" hidden="false" outlineLevel="0" max="11" min="11" style="0" width="2.63"/>
    <col collapsed="false" customWidth="true" hidden="false" outlineLevel="0" max="13" min="12" style="0" width="1.75"/>
    <col collapsed="false" customWidth="true" hidden="false" outlineLevel="0" max="14" min="14" style="0" width="1.37"/>
    <col collapsed="false" customWidth="true" hidden="false" outlineLevel="0" max="15" min="15" style="0" width="2.25"/>
    <col collapsed="false" customWidth="true" hidden="false" outlineLevel="0" max="16" min="16" style="0" width="7.37"/>
    <col collapsed="false" customWidth="true" hidden="false" outlineLevel="0" max="17" min="17" style="0" width="0.87"/>
    <col collapsed="false" customWidth="true" hidden="false" outlineLevel="0" max="18" min="18" style="0" width="0.75"/>
    <col collapsed="false" customWidth="true" hidden="false" outlineLevel="0" max="19" min="19" style="0" width="0.37"/>
    <col collapsed="false" customWidth="true" hidden="false" outlineLevel="0" max="20" min="20" style="0" width="1.5"/>
    <col collapsed="false" customWidth="true" hidden="false" outlineLevel="0" max="21" min="21" style="0" width="1.75"/>
    <col collapsed="false" customWidth="true" hidden="false" outlineLevel="0" max="22" min="22" style="0" width="0.25"/>
    <col collapsed="false" customWidth="true" hidden="false" outlineLevel="0" max="23" min="23" style="0" width="1.63"/>
    <col collapsed="false" customWidth="true" hidden="false" outlineLevel="0" max="24" min="24" style="0" width="1.75"/>
    <col collapsed="false" customWidth="true" hidden="false" outlineLevel="0" max="25" min="25" style="0" width="0.25"/>
    <col collapsed="false" customWidth="true" hidden="false" outlineLevel="0" max="26" min="26" style="0" width="1.63"/>
    <col collapsed="false" customWidth="true" hidden="false" outlineLevel="0" max="27" min="27" style="0" width="0.25"/>
    <col collapsed="false" customWidth="true" hidden="false" outlineLevel="0" max="28" min="28" style="0" width="1.5"/>
    <col collapsed="false" customWidth="true" hidden="false" outlineLevel="0" max="29" min="29" style="0" width="0.25"/>
    <col collapsed="false" customWidth="true" hidden="false" outlineLevel="0" max="30" min="30" style="0" width="1.63"/>
    <col collapsed="false" customWidth="true" hidden="false" outlineLevel="0" max="31" min="31" style="0" width="1.75"/>
    <col collapsed="false" customWidth="true" hidden="false" outlineLevel="0" max="32" min="32" style="0" width="0.25"/>
    <col collapsed="false" customWidth="true" hidden="false" outlineLevel="0" max="33" min="33" style="0" width="1.63"/>
    <col collapsed="false" customWidth="true" hidden="false" outlineLevel="0" max="34" min="34" style="0" width="1.75"/>
    <col collapsed="false" customWidth="true" hidden="false" outlineLevel="0" max="35" min="35" style="0" width="0.25"/>
    <col collapsed="false" customWidth="true" hidden="false" outlineLevel="0" max="36" min="36" style="0" width="1.63"/>
    <col collapsed="false" customWidth="true" hidden="false" outlineLevel="0" max="37" min="37" style="0" width="1.75"/>
    <col collapsed="false" customWidth="true" hidden="false" outlineLevel="0" max="38" min="38" style="0" width="0.25"/>
    <col collapsed="false" customWidth="true" hidden="false" outlineLevel="0" max="39" min="39" style="0" width="1.63"/>
    <col collapsed="false" customWidth="true" hidden="false" outlineLevel="0" max="40" min="40" style="0" width="1.75"/>
    <col collapsed="false" customWidth="true" hidden="false" outlineLevel="0" max="41" min="41" style="0" width="0.25"/>
    <col collapsed="false" customWidth="true" hidden="false" outlineLevel="0" max="42" min="42" style="0" width="0.5"/>
    <col collapsed="false" customWidth="true" hidden="false" outlineLevel="0" max="43" min="43" style="0" width="0.37"/>
    <col collapsed="false" customWidth="true" hidden="false" outlineLevel="0" max="44" min="44" style="0" width="0.75"/>
    <col collapsed="false" customWidth="true" hidden="false" outlineLevel="0" max="45" min="45" style="0" width="1.75"/>
    <col collapsed="false" customWidth="true" hidden="false" outlineLevel="0" max="46" min="46" style="0" width="0.25"/>
    <col collapsed="false" customWidth="true" hidden="false" outlineLevel="0" max="47" min="47" style="0" width="1.63"/>
    <col collapsed="false" customWidth="true" hidden="false" outlineLevel="0" max="48" min="48" style="0" width="1.75"/>
    <col collapsed="false" customWidth="true" hidden="false" outlineLevel="0" max="49" min="49" style="0" width="0.25"/>
    <col collapsed="false" customWidth="true" hidden="false" outlineLevel="0" max="50" min="50" style="0" width="0.5"/>
    <col collapsed="false" customWidth="true" hidden="false" outlineLevel="0" max="51" min="51" style="0" width="1.12"/>
    <col collapsed="false" customWidth="true" hidden="false" outlineLevel="0" max="52" min="52" style="0" width="1.75"/>
    <col collapsed="false" customWidth="true" hidden="false" outlineLevel="0" max="53" min="53" style="0" width="0.25"/>
    <col collapsed="false" customWidth="true" hidden="false" outlineLevel="0" max="54" min="54" style="0" width="1.63"/>
    <col collapsed="false" customWidth="true" hidden="false" outlineLevel="0" max="55" min="55" style="0" width="0.37"/>
    <col collapsed="false" customWidth="true" hidden="false" outlineLevel="0" max="56" min="56" style="0" width="1.25"/>
    <col collapsed="false" customWidth="true" hidden="false" outlineLevel="0" max="57" min="57" style="0" width="0.37"/>
    <col collapsed="false" customWidth="true" hidden="false" outlineLevel="0" max="58" min="58" style="0" width="0.5"/>
    <col collapsed="false" customWidth="true" hidden="false" outlineLevel="0" max="59" min="59" style="0" width="1.12"/>
    <col collapsed="false" customWidth="true" hidden="false" outlineLevel="0" max="60" min="60" style="0" width="3.75"/>
    <col collapsed="false" customWidth="true" hidden="false" outlineLevel="0" max="61" min="61" style="0" width="2.13"/>
    <col collapsed="false" customWidth="true" hidden="false" outlineLevel="0" max="62" min="62" style="0" width="4.5"/>
    <col collapsed="false" customWidth="true" hidden="false" outlineLevel="0" max="63" min="63" style="0" width="0.12"/>
  </cols>
  <sheetData>
    <row r="1" customFormat="false" ht="14.25" hidden="false" customHeight="true" outlineLevel="0" collapsed="false">
      <c r="R1" s="72" t="s">
        <v>1396</v>
      </c>
    </row>
    <row r="2" customFormat="false" ht="14.25" hidden="false" customHeight="true" outlineLevel="0" collapsed="false">
      <c r="F2" s="73" t="s">
        <v>1397</v>
      </c>
    </row>
    <row r="3" customFormat="false" ht="30" hidden="false" customHeight="true" outlineLevel="0" collapsed="false">
      <c r="A3" s="72" t="s">
        <v>1245</v>
      </c>
      <c r="L3" s="74" t="str">
        <f aca="false">v_name</f>
        <v>Sample Taxpayer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29"/>
      <c r="BA3" s="29"/>
      <c r="BB3" s="29"/>
      <c r="BC3" s="29"/>
      <c r="BD3" s="29"/>
      <c r="BE3" s="29"/>
      <c r="BF3" s="29"/>
      <c r="BG3" s="29"/>
    </row>
    <row r="4" customFormat="false" ht="14.25" hidden="false" customHeight="true" outlineLevel="0" collapsed="false">
      <c r="P4" s="75" t="s">
        <v>1247</v>
      </c>
      <c r="Q4" s="60"/>
      <c r="R4" s="60"/>
      <c r="S4" s="76" t="str">
        <f aca="false">MID(v_tin,1,1)</f>
        <v>1</v>
      </c>
      <c r="T4" s="62"/>
      <c r="U4" s="60"/>
      <c r="V4" s="76" t="str">
        <f aca="false">MID(v_tin,2,1)</f>
        <v>1</v>
      </c>
      <c r="W4" s="62"/>
      <c r="X4" s="60"/>
      <c r="Y4" s="76" t="str">
        <f aca="false">MID(v_tin,3,1)</f>
        <v>1</v>
      </c>
      <c r="Z4" s="62"/>
      <c r="AA4" s="60"/>
      <c r="AB4" s="60"/>
      <c r="AC4" s="76" t="str">
        <f aca="false">MID(v_tin,4,1)</f>
        <v>1</v>
      </c>
      <c r="AD4" s="62"/>
      <c r="AE4" s="60"/>
      <c r="AF4" s="76" t="str">
        <f aca="false">MID(v_tin,5,1)</f>
        <v>2</v>
      </c>
      <c r="AG4" s="62"/>
      <c r="AH4" s="60"/>
      <c r="AI4" s="76" t="str">
        <f aca="false">MID(v_tin,6,1)</f>
        <v>2</v>
      </c>
      <c r="AJ4" s="62"/>
      <c r="AK4" s="60"/>
      <c r="AL4" s="76" t="str">
        <f aca="false">MID(v_tin,7,1)</f>
        <v>2</v>
      </c>
      <c r="AM4" s="62"/>
      <c r="AN4" s="60"/>
      <c r="AO4" s="76" t="str">
        <f aca="false">MID(v_tin,8,1)</f>
        <v>2</v>
      </c>
      <c r="AP4" s="60"/>
      <c r="AQ4" s="60"/>
      <c r="AR4" s="62"/>
      <c r="AS4" s="60"/>
      <c r="AT4" s="76" t="str">
        <f aca="false">MID(v_tin,9,1)</f>
        <v>3</v>
      </c>
      <c r="AU4" s="62"/>
      <c r="AV4" s="60"/>
      <c r="AW4" s="76" t="str">
        <f aca="false">MID(v_tin,10,1)</f>
        <v>3</v>
      </c>
      <c r="AX4" s="60"/>
      <c r="AY4" s="62"/>
      <c r="AZ4" s="29"/>
      <c r="BA4" s="88" t="str">
        <f aca="false">MID(v_tin,11,1)</f>
        <v>3</v>
      </c>
      <c r="BB4" s="40"/>
      <c r="BC4" s="29"/>
      <c r="BD4" s="29"/>
      <c r="BE4" s="88" t="str">
        <f aca="false">MID(v_tin,12,1)</f>
        <v>3</v>
      </c>
      <c r="BF4" s="29"/>
      <c r="BG4" s="40"/>
    </row>
    <row r="5" customFormat="false" ht="14.25" hidden="false" customHeight="tru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</row>
    <row r="6" customFormat="false" ht="15" hidden="false" customHeight="true" outlineLevel="0" collapsed="false">
      <c r="A6" s="89" t="s">
        <v>1398</v>
      </c>
      <c r="H6" s="32"/>
      <c r="O6" s="90" t="s">
        <v>1399</v>
      </c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M6" s="32"/>
      <c r="AR6" s="78" t="s">
        <v>214</v>
      </c>
      <c r="AS6" s="78"/>
      <c r="AT6" s="78"/>
      <c r="AU6" s="78"/>
      <c r="AV6" s="78"/>
      <c r="AY6" s="91" t="s">
        <v>1400</v>
      </c>
      <c r="BB6" s="32"/>
      <c r="BG6" s="78" t="s">
        <v>214</v>
      </c>
      <c r="BH6" s="78"/>
      <c r="BI6" s="78"/>
      <c r="BJ6" s="91" t="s">
        <v>1400</v>
      </c>
      <c r="BK6" s="31"/>
    </row>
    <row r="7" customFormat="false" ht="7.5" hidden="false" customHeight="true" outlineLevel="0" collapsed="false">
      <c r="A7" s="31"/>
      <c r="E7" s="92" t="s">
        <v>1401</v>
      </c>
      <c r="F7" s="92"/>
      <c r="H7" s="32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M7" s="32"/>
      <c r="AR7" s="78"/>
      <c r="AS7" s="78"/>
      <c r="AT7" s="78"/>
      <c r="AU7" s="78"/>
      <c r="AV7" s="78"/>
      <c r="AY7" s="91"/>
      <c r="BB7" s="32"/>
      <c r="BG7" s="78"/>
      <c r="BH7" s="78"/>
      <c r="BI7" s="78"/>
      <c r="BJ7" s="91"/>
      <c r="BK7" s="31"/>
    </row>
    <row r="8" customFormat="false" ht="3.75" hidden="false" customHeight="true" outlineLevel="0" collapsed="false">
      <c r="A8" s="31"/>
      <c r="E8" s="92"/>
      <c r="F8" s="92"/>
      <c r="H8" s="32"/>
      <c r="AM8" s="32"/>
      <c r="BB8" s="32"/>
      <c r="BJ8" s="32"/>
    </row>
    <row r="9" customFormat="false" ht="4.5" hidden="false" customHeight="true" outlineLevel="0" collapsed="false">
      <c r="A9" s="43"/>
      <c r="B9" s="29"/>
      <c r="C9" s="29"/>
      <c r="D9" s="29"/>
      <c r="E9" s="29"/>
      <c r="F9" s="29"/>
      <c r="G9" s="29"/>
      <c r="H9" s="40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40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40"/>
      <c r="BC9" s="29"/>
      <c r="BD9" s="29"/>
      <c r="BE9" s="29"/>
      <c r="BF9" s="29"/>
      <c r="BG9" s="29"/>
      <c r="BH9" s="29"/>
      <c r="BI9" s="29"/>
      <c r="BJ9" s="40"/>
    </row>
    <row r="10" customFormat="false" ht="1.5" hidden="false" customHeight="true" outlineLevel="0" collapsed="false">
      <c r="A10" s="31"/>
      <c r="H10" s="32"/>
      <c r="K10" s="32"/>
      <c r="AM10" s="32"/>
      <c r="BB10" s="32"/>
      <c r="BJ10" s="32"/>
    </row>
    <row r="11" customFormat="false" ht="12.75" hidden="false" customHeight="true" outlineLevel="0" collapsed="false">
      <c r="A11" s="31"/>
      <c r="B11" s="93" t="str">
        <f aca="false">v_s2_desc</f>
        <v/>
      </c>
      <c r="C11" s="93"/>
      <c r="D11" s="93"/>
      <c r="E11" s="93"/>
      <c r="F11" s="93"/>
      <c r="G11" s="93"/>
      <c r="H11" s="32"/>
      <c r="I11" s="29"/>
      <c r="J11" s="29"/>
      <c r="K11" s="94" t="s">
        <v>1264</v>
      </c>
      <c r="L11" s="79" t="s">
        <v>1402</v>
      </c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40"/>
      <c r="AN11" s="29"/>
      <c r="AO11" s="29"/>
      <c r="AP11" s="29"/>
      <c r="AQ11" s="95" t="n">
        <f aca="false">v_s2_r1</f>
        <v>395000</v>
      </c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31"/>
      <c r="BJ11" s="32"/>
    </row>
    <row r="12" customFormat="false" ht="14.25" hidden="false" customHeight="true" outlineLevel="0" collapsed="false">
      <c r="A12" s="31"/>
      <c r="B12" s="93"/>
      <c r="C12" s="93"/>
      <c r="D12" s="93"/>
      <c r="E12" s="93"/>
      <c r="F12" s="93"/>
      <c r="G12" s="93"/>
      <c r="H12" s="32"/>
      <c r="I12" s="29"/>
      <c r="J12" s="29"/>
      <c r="K12" s="94" t="s">
        <v>1265</v>
      </c>
      <c r="L12" s="87" t="s">
        <v>1403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40"/>
      <c r="AN12" s="29"/>
      <c r="AO12" s="29"/>
      <c r="AP12" s="29"/>
      <c r="AQ12" s="95" t="str">
        <f aca="false">IF(N(v_s2_r2)=0,"",v_s2_r2)</f>
        <v/>
      </c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31"/>
      <c r="BJ12" s="32"/>
    </row>
    <row r="13" customFormat="false" ht="15" hidden="false" customHeight="true" outlineLevel="0" collapsed="false">
      <c r="A13" s="31"/>
      <c r="B13" s="93"/>
      <c r="C13" s="93"/>
      <c r="D13" s="93"/>
      <c r="E13" s="93"/>
      <c r="F13" s="93"/>
      <c r="G13" s="93"/>
      <c r="H13" s="32"/>
      <c r="I13" s="29"/>
      <c r="J13" s="29"/>
      <c r="K13" s="94" t="s">
        <v>1266</v>
      </c>
      <c r="L13" s="87" t="s">
        <v>1404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40"/>
      <c r="AN13" s="29"/>
      <c r="AO13" s="29"/>
      <c r="AP13" s="29"/>
      <c r="AQ13" s="95" t="str">
        <f aca="false">IF(N(v_s2_r3)=0,"",v_s2_r3)</f>
        <v/>
      </c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31"/>
      <c r="BJ13" s="32"/>
    </row>
    <row r="14" customFormat="false" ht="14.25" hidden="false" customHeight="true" outlineLevel="0" collapsed="false">
      <c r="A14" s="31"/>
      <c r="B14" s="93"/>
      <c r="C14" s="93"/>
      <c r="D14" s="93"/>
      <c r="E14" s="93"/>
      <c r="F14" s="93"/>
      <c r="G14" s="93"/>
      <c r="H14" s="32"/>
      <c r="I14" s="29"/>
      <c r="J14" s="29"/>
      <c r="K14" s="94" t="s">
        <v>1267</v>
      </c>
      <c r="L14" s="87" t="s">
        <v>116</v>
      </c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40"/>
      <c r="AN14" s="29"/>
      <c r="AO14" s="29"/>
      <c r="AP14" s="29"/>
      <c r="AQ14" s="95" t="str">
        <f aca="false">IF(N(v_s2_r4)=0,"",v_s2_r4)</f>
        <v/>
      </c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31"/>
      <c r="BJ14" s="32"/>
    </row>
    <row r="15" customFormat="false" ht="15" hidden="false" customHeight="true" outlineLevel="0" collapsed="false">
      <c r="A15" s="31"/>
      <c r="B15" s="93"/>
      <c r="C15" s="93"/>
      <c r="D15" s="93"/>
      <c r="E15" s="93"/>
      <c r="F15" s="93"/>
      <c r="G15" s="93"/>
      <c r="H15" s="32"/>
      <c r="I15" s="29"/>
      <c r="J15" s="29"/>
      <c r="K15" s="94" t="s">
        <v>1270</v>
      </c>
      <c r="L15" s="87" t="s">
        <v>1405</v>
      </c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40"/>
      <c r="AN15" s="29"/>
      <c r="AO15" s="29"/>
      <c r="AP15" s="29"/>
      <c r="AQ15" s="96" t="str">
        <f aca="false">IF(N(v_s2_r5)=0,"",v_s2_r5)</f>
        <v/>
      </c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43"/>
      <c r="BD15" s="29"/>
      <c r="BE15" s="29"/>
      <c r="BF15" s="29"/>
      <c r="BG15" s="29"/>
      <c r="BH15" s="29"/>
      <c r="BI15" s="29"/>
      <c r="BJ15" s="40"/>
    </row>
    <row r="16" customFormat="false" ht="14.25" hidden="false" customHeight="true" outlineLevel="0" collapsed="false">
      <c r="A16" s="31"/>
      <c r="B16" s="93"/>
      <c r="C16" s="93"/>
      <c r="D16" s="93"/>
      <c r="E16" s="93"/>
      <c r="F16" s="93"/>
      <c r="G16" s="93"/>
      <c r="H16" s="32"/>
      <c r="I16" s="29"/>
      <c r="J16" s="29"/>
      <c r="K16" s="94" t="s">
        <v>1310</v>
      </c>
      <c r="L16" s="87" t="s">
        <v>1406</v>
      </c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2"/>
      <c r="BC16" s="29"/>
      <c r="BD16" s="29"/>
      <c r="BE16" s="29"/>
      <c r="BF16" s="96" t="n">
        <f aca="false">v_s2_r6</f>
        <v>395000</v>
      </c>
      <c r="BG16" s="96"/>
      <c r="BH16" s="96"/>
      <c r="BI16" s="96"/>
      <c r="BJ16" s="96"/>
      <c r="BK16" s="31"/>
    </row>
    <row r="17" customFormat="false" ht="15" hidden="false" customHeight="true" outlineLevel="0" collapsed="false">
      <c r="A17" s="31"/>
      <c r="B17" s="93"/>
      <c r="C17" s="93"/>
      <c r="D17" s="93"/>
      <c r="E17" s="93"/>
      <c r="F17" s="93"/>
      <c r="G17" s="93"/>
      <c r="H17" s="32"/>
      <c r="K17" s="32"/>
      <c r="L17" s="87" t="s">
        <v>1407</v>
      </c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40"/>
      <c r="BF17" s="83"/>
      <c r="BG17" s="83"/>
      <c r="BH17" s="83"/>
      <c r="BI17" s="83"/>
      <c r="BJ17" s="97"/>
    </row>
    <row r="18" customFormat="false" ht="14.25" hidden="false" customHeight="true" outlineLevel="0" collapsed="false">
      <c r="A18" s="31"/>
      <c r="B18" s="93"/>
      <c r="C18" s="93"/>
      <c r="D18" s="93"/>
      <c r="E18" s="93"/>
      <c r="F18" s="93"/>
      <c r="G18" s="93"/>
      <c r="H18" s="32"/>
      <c r="K18" s="32"/>
      <c r="L18" s="87" t="s">
        <v>1408</v>
      </c>
      <c r="M18" s="40"/>
      <c r="N18" s="79" t="s">
        <v>1409</v>
      </c>
      <c r="O18" s="29"/>
      <c r="P18" s="29"/>
      <c r="Q18" s="29"/>
      <c r="R18" s="29"/>
      <c r="S18" s="29"/>
      <c r="T18" s="29"/>
      <c r="U18" s="29"/>
      <c r="V18" s="29"/>
      <c r="W18" s="29"/>
      <c r="X18" s="98" t="str">
        <f aca="false">v_s2_rate</f>
        <v>25%</v>
      </c>
      <c r="Y18" s="98"/>
      <c r="Z18" s="98"/>
      <c r="AA18" s="98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40"/>
      <c r="AN18" s="29"/>
      <c r="AO18" s="29"/>
      <c r="AP18" s="29"/>
      <c r="AQ18" s="95" t="n">
        <f aca="false">v_s2_da</f>
        <v>98750</v>
      </c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31"/>
      <c r="BJ18" s="32"/>
    </row>
    <row r="19" customFormat="false" ht="14.25" hidden="false" customHeight="true" outlineLevel="0" collapsed="false">
      <c r="A19" s="31"/>
      <c r="B19" s="93"/>
      <c r="C19" s="93"/>
      <c r="D19" s="93"/>
      <c r="E19" s="93"/>
      <c r="F19" s="93"/>
      <c r="G19" s="93"/>
      <c r="H19" s="32"/>
      <c r="K19" s="32"/>
      <c r="L19" s="87" t="s">
        <v>1410</v>
      </c>
      <c r="M19" s="40"/>
      <c r="N19" s="79" t="s">
        <v>1411</v>
      </c>
      <c r="O19" s="29"/>
      <c r="P19" s="29"/>
      <c r="Q19" s="29"/>
      <c r="R19" s="29"/>
      <c r="S19" s="29"/>
      <c r="T19" s="29"/>
      <c r="U19" s="29"/>
      <c r="V19" s="29"/>
      <c r="W19" s="29"/>
      <c r="X19" s="60"/>
      <c r="Y19" s="60"/>
      <c r="Z19" s="60"/>
      <c r="AA19" s="60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40"/>
      <c r="AN19" s="29"/>
      <c r="AO19" s="29"/>
      <c r="AP19" s="29"/>
      <c r="AQ19" s="95" t="str">
        <f aca="false">IF(N(v_s2_db)=0,"",v_s2_db)</f>
        <v/>
      </c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31"/>
      <c r="BJ19" s="32"/>
    </row>
    <row r="20" customFormat="false" ht="14.25" hidden="false" customHeight="true" outlineLevel="0" collapsed="false">
      <c r="A20" s="31"/>
      <c r="B20" s="93"/>
      <c r="C20" s="93"/>
      <c r="D20" s="93"/>
      <c r="E20" s="93"/>
      <c r="F20" s="93"/>
      <c r="G20" s="93"/>
      <c r="H20" s="32"/>
      <c r="K20" s="99" t="s">
        <v>1273</v>
      </c>
      <c r="L20" s="87" t="s">
        <v>1412</v>
      </c>
      <c r="M20" s="40"/>
      <c r="N20" s="79" t="s">
        <v>1413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40"/>
      <c r="AN20" s="29"/>
      <c r="AO20" s="29"/>
      <c r="AP20" s="29"/>
      <c r="AQ20" s="95" t="str">
        <f aca="false">IF(N(v_s2_dc)=0,"",v_s2_dc)</f>
        <v/>
      </c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31"/>
      <c r="BF20" s="96" t="n">
        <f aca="false">v_s2_r7</f>
        <v>98750</v>
      </c>
      <c r="BG20" s="96"/>
      <c r="BH20" s="96"/>
      <c r="BI20" s="96"/>
      <c r="BJ20" s="96"/>
      <c r="BK20" s="31"/>
    </row>
    <row r="21" customFormat="false" ht="14.25" hidden="false" customHeight="true" outlineLevel="0" collapsed="false">
      <c r="A21" s="31"/>
      <c r="B21" s="93"/>
      <c r="C21" s="93"/>
      <c r="D21" s="93"/>
      <c r="E21" s="93"/>
      <c r="F21" s="93"/>
      <c r="G21" s="93"/>
      <c r="H21" s="32"/>
      <c r="K21" s="32"/>
      <c r="L21" s="87" t="s">
        <v>1414</v>
      </c>
      <c r="M21" s="40"/>
      <c r="N21" s="79" t="s">
        <v>1415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40"/>
      <c r="AN21" s="29"/>
      <c r="AO21" s="29"/>
      <c r="AP21" s="29"/>
      <c r="AQ21" s="95" t="str">
        <f aca="false">IF(N(v_s2_dd)=0,"",v_s2_dd)</f>
        <v/>
      </c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31"/>
      <c r="BJ21" s="32"/>
    </row>
    <row r="22" customFormat="false" ht="14.25" hidden="false" customHeight="true" outlineLevel="0" collapsed="false">
      <c r="A22" s="31"/>
      <c r="B22" s="93"/>
      <c r="C22" s="93"/>
      <c r="D22" s="93"/>
      <c r="E22" s="93"/>
      <c r="F22" s="93"/>
      <c r="G22" s="93"/>
      <c r="H22" s="32"/>
      <c r="K22" s="32"/>
      <c r="L22" s="87" t="s">
        <v>1416</v>
      </c>
      <c r="M22" s="40"/>
      <c r="N22" s="79" t="s">
        <v>1417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40"/>
      <c r="AN22" s="29"/>
      <c r="AO22" s="29"/>
      <c r="AP22" s="29"/>
      <c r="AQ22" s="95" t="str">
        <f aca="false">IF(N(v_s2_de)=0,"",v_s2_de)</f>
        <v/>
      </c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31"/>
      <c r="BJ22" s="32"/>
    </row>
    <row r="23" customFormat="false" ht="14.25" hidden="false" customHeight="true" outlineLevel="0" collapsed="false">
      <c r="A23" s="31"/>
      <c r="B23" s="93"/>
      <c r="C23" s="93"/>
      <c r="D23" s="93"/>
      <c r="E23" s="93"/>
      <c r="F23" s="93"/>
      <c r="G23" s="93"/>
      <c r="H23" s="32"/>
      <c r="I23" s="29"/>
      <c r="J23" s="29"/>
      <c r="K23" s="40"/>
      <c r="L23" s="87" t="s">
        <v>1418</v>
      </c>
      <c r="M23" s="40"/>
      <c r="N23" s="79" t="s">
        <v>1419</v>
      </c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40"/>
      <c r="AN23" s="29"/>
      <c r="AO23" s="29"/>
      <c r="AP23" s="29"/>
      <c r="AQ23" s="96" t="str">
        <f aca="false">IF(N(v_s2_df)=0,"",v_s2_df)</f>
        <v/>
      </c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43"/>
      <c r="BD23" s="29"/>
      <c r="BE23" s="29"/>
      <c r="BF23" s="29"/>
      <c r="BG23" s="29"/>
      <c r="BH23" s="29"/>
      <c r="BI23" s="29"/>
      <c r="BJ23" s="40"/>
    </row>
    <row r="24" customFormat="false" ht="14.25" hidden="false" customHeight="true" outlineLevel="0" collapsed="false">
      <c r="A24" s="31"/>
      <c r="B24" s="93"/>
      <c r="C24" s="93"/>
      <c r="D24" s="93"/>
      <c r="E24" s="93"/>
      <c r="F24" s="93"/>
      <c r="G24" s="93"/>
      <c r="H24" s="32"/>
      <c r="I24" s="29"/>
      <c r="J24" s="29"/>
      <c r="K24" s="94" t="s">
        <v>1280</v>
      </c>
      <c r="L24" s="79" t="s">
        <v>1420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2"/>
      <c r="BC24" s="29"/>
      <c r="BD24" s="29"/>
      <c r="BE24" s="29"/>
      <c r="BF24" s="100" t="n">
        <f aca="false">v_s2_r8</f>
        <v>98750</v>
      </c>
      <c r="BG24" s="100"/>
      <c r="BH24" s="100"/>
      <c r="BI24" s="100"/>
      <c r="BJ24" s="100"/>
      <c r="BK24" s="31"/>
    </row>
    <row r="25" customFormat="false" ht="9.75" hidden="false" customHeight="true" outlineLevel="0" collapsed="false">
      <c r="A25" s="31"/>
      <c r="B25" s="93"/>
      <c r="C25" s="93"/>
      <c r="D25" s="93"/>
      <c r="E25" s="93"/>
      <c r="F25" s="93"/>
      <c r="G25" s="93"/>
      <c r="H25" s="32"/>
      <c r="K25" s="99" t="s">
        <v>1282</v>
      </c>
      <c r="L25" s="78" t="s">
        <v>1421</v>
      </c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BB25" s="32"/>
      <c r="BF25" s="100" t="n">
        <f aca="false">v_s2_r9</f>
        <v>296250</v>
      </c>
      <c r="BG25" s="100"/>
      <c r="BH25" s="100"/>
      <c r="BI25" s="100"/>
      <c r="BJ25" s="100"/>
      <c r="BK25" s="31"/>
    </row>
    <row r="26" customFormat="false" ht="5.25" hidden="false" customHeight="true" outlineLevel="0" collapsed="false">
      <c r="A26" s="31"/>
      <c r="H26" s="32"/>
      <c r="I26" s="29"/>
      <c r="J26" s="29"/>
      <c r="K26" s="99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40"/>
      <c r="BC26" s="29"/>
      <c r="BD26" s="29"/>
      <c r="BE26" s="29"/>
      <c r="BF26" s="100"/>
      <c r="BG26" s="100"/>
      <c r="BH26" s="100"/>
      <c r="BI26" s="100"/>
      <c r="BJ26" s="100"/>
      <c r="BK26" s="31"/>
    </row>
    <row r="27" customFormat="false" ht="14.25" hidden="false" customHeight="true" outlineLevel="0" collapsed="false">
      <c r="A27" s="43"/>
      <c r="B27" s="29"/>
      <c r="C27" s="29"/>
      <c r="D27" s="29"/>
      <c r="E27" s="29"/>
      <c r="F27" s="29"/>
      <c r="G27" s="29"/>
      <c r="H27" s="40"/>
      <c r="I27" s="29"/>
      <c r="J27" s="79" t="s">
        <v>1285</v>
      </c>
      <c r="K27" s="62"/>
      <c r="L27" s="101" t="s">
        <v>1422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40"/>
      <c r="BC27" s="29"/>
      <c r="BD27" s="29"/>
      <c r="BE27" s="29"/>
      <c r="BF27" s="102" t="str">
        <f aca="false">IF(N(v_s2_r10)=0,"",v_s2_r10)</f>
        <v/>
      </c>
      <c r="BG27" s="102"/>
      <c r="BH27" s="102"/>
      <c r="BI27" s="102"/>
      <c r="BJ27" s="102"/>
      <c r="BK27" s="31"/>
    </row>
    <row r="28" customFormat="false" ht="28.5" hidden="false" customHeight="true" outlineLevel="0" collapsed="false">
      <c r="R28" s="72" t="s">
        <v>1423</v>
      </c>
      <c r="BF28" s="83"/>
      <c r="BG28" s="83"/>
      <c r="BH28" s="83"/>
      <c r="BI28" s="83"/>
      <c r="BJ28" s="83"/>
    </row>
    <row r="29" customFormat="false" ht="14.25" hidden="false" customHeight="true" outlineLevel="0" collapsed="false">
      <c r="M29" s="73" t="s">
        <v>1424</v>
      </c>
    </row>
    <row r="30" customFormat="false" ht="30" hidden="false" customHeight="true" outlineLevel="0" collapsed="false">
      <c r="A30" s="72" t="s">
        <v>1245</v>
      </c>
      <c r="L30" s="74" t="str">
        <f aca="false">v_name</f>
        <v>Sample Taxpayer</v>
      </c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29"/>
      <c r="BA30" s="29"/>
      <c r="BB30" s="29"/>
      <c r="BC30" s="29"/>
      <c r="BD30" s="29"/>
      <c r="BE30" s="29"/>
      <c r="BF30" s="29"/>
      <c r="BG30" s="29"/>
    </row>
    <row r="31" customFormat="false" ht="15" hidden="false" customHeight="true" outlineLevel="0" collapsed="false">
      <c r="P31" s="75" t="s">
        <v>1247</v>
      </c>
      <c r="Q31" s="60"/>
      <c r="R31" s="60"/>
      <c r="S31" s="76" t="str">
        <f aca="false">MID(v_tin,1,1)</f>
        <v>1</v>
      </c>
      <c r="T31" s="62"/>
      <c r="U31" s="60"/>
      <c r="V31" s="76" t="str">
        <f aca="false">MID(v_tin,2,1)</f>
        <v>1</v>
      </c>
      <c r="W31" s="62"/>
      <c r="X31" s="60"/>
      <c r="Y31" s="76" t="str">
        <f aca="false">MID(v_tin,3,1)</f>
        <v>1</v>
      </c>
      <c r="Z31" s="62"/>
      <c r="AA31" s="60"/>
      <c r="AB31" s="60"/>
      <c r="AC31" s="76" t="str">
        <f aca="false">MID(v_tin,4,1)</f>
        <v>1</v>
      </c>
      <c r="AD31" s="62"/>
      <c r="AE31" s="60"/>
      <c r="AF31" s="76" t="str">
        <f aca="false">MID(v_tin,5,1)</f>
        <v>2</v>
      </c>
      <c r="AG31" s="62"/>
      <c r="AH31" s="60"/>
      <c r="AI31" s="76" t="str">
        <f aca="false">MID(v_tin,6,1)</f>
        <v>2</v>
      </c>
      <c r="AJ31" s="62"/>
      <c r="AK31" s="60"/>
      <c r="AL31" s="76" t="str">
        <f aca="false">MID(v_tin,7,1)</f>
        <v>2</v>
      </c>
      <c r="AM31" s="62"/>
      <c r="AN31" s="60"/>
      <c r="AO31" s="76" t="str">
        <f aca="false">MID(v_tin,8,1)</f>
        <v>2</v>
      </c>
      <c r="AP31" s="60"/>
      <c r="AQ31" s="60"/>
      <c r="AR31" s="62"/>
      <c r="AS31" s="60"/>
      <c r="AT31" s="76" t="str">
        <f aca="false">MID(v_tin,9,1)</f>
        <v>3</v>
      </c>
      <c r="AU31" s="62"/>
      <c r="AV31" s="60"/>
      <c r="AW31" s="76" t="str">
        <f aca="false">MID(v_tin,10,1)</f>
        <v>3</v>
      </c>
      <c r="AX31" s="60"/>
      <c r="AY31" s="62"/>
      <c r="AZ31" s="29"/>
      <c r="BA31" s="88" t="str">
        <f aca="false">MID(v_tin,11,1)</f>
        <v>3</v>
      </c>
      <c r="BB31" s="40"/>
      <c r="BC31" s="29"/>
      <c r="BD31" s="29"/>
      <c r="BE31" s="88" t="str">
        <f aca="false">MID(v_tin,12,1)</f>
        <v>3</v>
      </c>
      <c r="BF31" s="29"/>
      <c r="BG31" s="40"/>
    </row>
    <row r="32" customFormat="false" ht="28.5" hidden="false" customHeight="true" outlineLevel="0" collapsed="false">
      <c r="A32" s="73" t="s">
        <v>1425</v>
      </c>
      <c r="G32" s="103" t="str">
        <f aca="false">v_s3_nature</f>
        <v/>
      </c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</row>
    <row r="33" customFormat="false" ht="14.2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</row>
    <row r="34" customFormat="false" ht="14.25" hidden="false" customHeight="true" outlineLevel="0" collapsed="false">
      <c r="A34" s="43"/>
      <c r="B34" s="29"/>
      <c r="C34" s="29"/>
      <c r="D34" s="79" t="s">
        <v>1426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40"/>
      <c r="AZ34" s="29"/>
      <c r="BA34" s="29"/>
      <c r="BB34" s="29"/>
      <c r="BC34" s="29"/>
      <c r="BD34" s="79" t="s">
        <v>214</v>
      </c>
      <c r="BE34" s="29"/>
      <c r="BF34" s="29"/>
      <c r="BG34" s="29"/>
      <c r="BH34" s="29"/>
      <c r="BI34" s="79" t="s">
        <v>1374</v>
      </c>
      <c r="BJ34" s="40"/>
    </row>
    <row r="35" customFormat="false" ht="13.5" hidden="false" customHeight="true" outlineLevel="0" collapsed="false">
      <c r="A35" s="43"/>
      <c r="B35" s="29"/>
      <c r="C35" s="94" t="s">
        <v>1264</v>
      </c>
      <c r="D35" s="79" t="s">
        <v>1427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40"/>
      <c r="AZ35" s="29"/>
      <c r="BA35" s="29"/>
      <c r="BB35" s="29"/>
      <c r="BC35" s="29"/>
      <c r="BD35" s="29"/>
      <c r="BE35" s="29"/>
      <c r="BF35" s="95" t="n">
        <f aca="false">v_s3_r1</f>
        <v>0</v>
      </c>
      <c r="BG35" s="95"/>
      <c r="BH35" s="95"/>
      <c r="BI35" s="95"/>
      <c r="BJ35" s="95"/>
      <c r="BK35" s="31"/>
    </row>
    <row r="36" customFormat="false" ht="14.25" hidden="false" customHeight="true" outlineLevel="0" collapsed="false">
      <c r="A36" s="43"/>
      <c r="B36" s="29"/>
      <c r="C36" s="94" t="s">
        <v>1265</v>
      </c>
      <c r="D36" s="79" t="s">
        <v>1428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40"/>
      <c r="AZ36" s="29"/>
      <c r="BA36" s="29"/>
      <c r="BB36" s="29"/>
      <c r="BC36" s="29"/>
      <c r="BD36" s="29"/>
      <c r="BE36" s="29"/>
      <c r="BF36" s="95" t="n">
        <f aca="false">v_s3_r2</f>
        <v>0</v>
      </c>
      <c r="BG36" s="95"/>
      <c r="BH36" s="95"/>
      <c r="BI36" s="95"/>
      <c r="BJ36" s="95"/>
      <c r="BK36" s="31"/>
    </row>
    <row r="37" customFormat="false" ht="13.5" hidden="false" customHeight="true" outlineLevel="0" collapsed="false">
      <c r="A37" s="31"/>
      <c r="C37" s="99" t="s">
        <v>1266</v>
      </c>
      <c r="D37" s="104" t="s">
        <v>1429</v>
      </c>
      <c r="AY37" s="32"/>
      <c r="BF37" s="96" t="n">
        <f aca="false">v_s3_r3</f>
        <v>0</v>
      </c>
      <c r="BG37" s="96"/>
      <c r="BH37" s="96"/>
      <c r="BI37" s="96"/>
      <c r="BJ37" s="96"/>
      <c r="BK37" s="31"/>
    </row>
    <row r="38" customFormat="false" ht="7.5" hidden="false" customHeight="true" outlineLevel="0" collapsed="false">
      <c r="A38" s="31"/>
      <c r="C38" s="99"/>
      <c r="D38" s="78" t="s">
        <v>1430</v>
      </c>
      <c r="E38" s="78"/>
      <c r="F38" s="78"/>
      <c r="G38" s="78"/>
      <c r="H38" s="78"/>
      <c r="I38" s="78"/>
      <c r="J38" s="78"/>
      <c r="K38" s="78"/>
      <c r="L38" s="78"/>
      <c r="M38" s="78"/>
      <c r="AY38" s="32"/>
      <c r="BF38" s="96"/>
      <c r="BG38" s="96"/>
      <c r="BH38" s="96"/>
      <c r="BI38" s="96"/>
      <c r="BJ38" s="96"/>
      <c r="BK38" s="31"/>
    </row>
    <row r="39" customFormat="false" ht="7.5" hidden="false" customHeight="true" outlineLevel="0" collapsed="false">
      <c r="A39" s="43"/>
      <c r="B39" s="29"/>
      <c r="C39" s="40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40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40"/>
    </row>
    <row r="40" customFormat="false" ht="15" hidden="false" customHeight="true" outlineLevel="0" collapsed="false">
      <c r="A40" s="43"/>
      <c r="B40" s="29"/>
      <c r="C40" s="94" t="s">
        <v>1267</v>
      </c>
      <c r="D40" s="105" t="s">
        <v>1431</v>
      </c>
      <c r="E40" s="60"/>
      <c r="F40" s="60"/>
      <c r="G40" s="60"/>
      <c r="H40" s="60"/>
      <c r="I40" s="60"/>
      <c r="J40" s="60"/>
      <c r="K40" s="60"/>
      <c r="L40" s="60"/>
      <c r="M40" s="60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40"/>
      <c r="AZ40" s="29"/>
      <c r="BA40" s="29"/>
      <c r="BB40" s="29"/>
      <c r="BC40" s="29"/>
      <c r="BD40" s="29"/>
      <c r="BE40" s="29"/>
      <c r="BF40" s="81" t="n">
        <f aca="false">v_s3_r4</f>
        <v>0</v>
      </c>
      <c r="BG40" s="81"/>
      <c r="BH40" s="81"/>
      <c r="BI40" s="81"/>
      <c r="BJ40" s="81"/>
      <c r="BK40" s="31"/>
    </row>
    <row r="41" customFormat="false" ht="1.5" hidden="false" customHeight="true" outlineLevel="0" collapsed="false">
      <c r="BF41" s="83"/>
      <c r="BG41" s="83"/>
      <c r="BH41" s="83"/>
      <c r="BI41" s="83"/>
      <c r="BJ41" s="83"/>
    </row>
  </sheetData>
  <sheetProtection sheet="true"/>
  <mergeCells count="35">
    <mergeCell ref="L3:AY3"/>
    <mergeCell ref="O6:AF7"/>
    <mergeCell ref="AR6:AV7"/>
    <mergeCell ref="AY6:AY7"/>
    <mergeCell ref="BG6:BI7"/>
    <mergeCell ref="BJ6:BJ7"/>
    <mergeCell ref="E7:F8"/>
    <mergeCell ref="B11:G25"/>
    <mergeCell ref="AQ11:BB11"/>
    <mergeCell ref="AQ12:BB12"/>
    <mergeCell ref="AQ13:BB13"/>
    <mergeCell ref="AQ14:BB14"/>
    <mergeCell ref="AQ15:BB15"/>
    <mergeCell ref="BF16:BJ16"/>
    <mergeCell ref="X18:AA18"/>
    <mergeCell ref="AQ18:BB18"/>
    <mergeCell ref="AQ19:BB19"/>
    <mergeCell ref="AQ20:BB20"/>
    <mergeCell ref="BF20:BJ20"/>
    <mergeCell ref="AQ21:BB21"/>
    <mergeCell ref="AQ22:BB22"/>
    <mergeCell ref="AQ23:BB23"/>
    <mergeCell ref="BF24:BJ24"/>
    <mergeCell ref="K25:K26"/>
    <mergeCell ref="L25:AB26"/>
    <mergeCell ref="BF25:BJ26"/>
    <mergeCell ref="BF27:BJ27"/>
    <mergeCell ref="L30:AY30"/>
    <mergeCell ref="G32:BJ32"/>
    <mergeCell ref="BF35:BJ35"/>
    <mergeCell ref="BF36:BJ36"/>
    <mergeCell ref="C37:C38"/>
    <mergeCell ref="BF37:BJ38"/>
    <mergeCell ref="D38:M39"/>
    <mergeCell ref="BF40:BJ40"/>
  </mergeCells>
  <printOptions headings="false" gridLines="false" gridLinesSet="true" horizontalCentered="false" verticalCentered="false"/>
  <pageMargins left="0.4625" right="0.215972222222222" top="0.757638888888889" bottom="2.99097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2" min="1" style="0" width="0.5"/>
    <col collapsed="false" customWidth="true" hidden="false" outlineLevel="0" max="3" min="3" style="0" width="2.5"/>
    <col collapsed="false" customWidth="true" hidden="false" outlineLevel="0" max="4" min="4" style="0" width="3.62"/>
    <col collapsed="false" customWidth="true" hidden="false" outlineLevel="0" max="5" min="5" style="0" width="4.63"/>
    <col collapsed="false" customWidth="true" hidden="false" outlineLevel="0" max="6" min="6" style="0" width="9.87"/>
    <col collapsed="false" customWidth="true" hidden="false" outlineLevel="0" max="7" min="7" style="0" width="1.25"/>
    <col collapsed="false" customWidth="true" hidden="false" outlineLevel="0" max="8" min="8" style="0" width="2.38"/>
    <col collapsed="false" customWidth="true" hidden="false" outlineLevel="0" max="9" min="9" style="0" width="7.37"/>
    <col collapsed="false" customWidth="true" hidden="false" outlineLevel="0" max="10" min="10" style="0" width="1.63"/>
    <col collapsed="false" customWidth="true" hidden="false" outlineLevel="0" max="11" min="11" style="0" width="0.25"/>
    <col collapsed="false" customWidth="true" hidden="false" outlineLevel="0" max="12" min="12" style="0" width="1.63"/>
    <col collapsed="false" customWidth="true" hidden="false" outlineLevel="0" max="13" min="13" style="0" width="1.75"/>
    <col collapsed="false" customWidth="true" hidden="false" outlineLevel="0" max="14" min="14" style="0" width="0.25"/>
    <col collapsed="false" customWidth="true" hidden="false" outlineLevel="0" max="15" min="15" style="0" width="0.5"/>
    <col collapsed="false" customWidth="true" hidden="false" outlineLevel="0" max="16" min="16" style="0" width="1.12"/>
    <col collapsed="false" customWidth="true" hidden="false" outlineLevel="0" max="17" min="17" style="0" width="1.75"/>
    <col collapsed="false" customWidth="true" hidden="false" outlineLevel="0" max="19" min="18" style="0" width="0.12"/>
    <col collapsed="false" customWidth="true" hidden="false" outlineLevel="0" max="20" min="20" style="0" width="1.63"/>
    <col collapsed="false" customWidth="true" hidden="false" outlineLevel="0" max="21" min="21" style="0" width="1.75"/>
    <col collapsed="false" customWidth="true" hidden="false" outlineLevel="0" max="22" min="22" style="0" width="0.25"/>
    <col collapsed="false" customWidth="true" hidden="false" outlineLevel="0" max="23" min="23" style="0" width="1.63"/>
    <col collapsed="false" customWidth="true" hidden="false" outlineLevel="0" max="24" min="24" style="0" width="1.75"/>
    <col collapsed="false" customWidth="true" hidden="false" outlineLevel="0" max="25" min="25" style="0" width="0.25"/>
    <col collapsed="false" customWidth="true" hidden="false" outlineLevel="0" max="26" min="26" style="0" width="1.63"/>
    <col collapsed="false" customWidth="true" hidden="false" outlineLevel="0" max="27" min="27" style="0" width="1.75"/>
    <col collapsed="false" customWidth="true" hidden="false" outlineLevel="0" max="28" min="28" style="0" width="0.25"/>
    <col collapsed="false" customWidth="true" hidden="false" outlineLevel="0" max="29" min="29" style="0" width="1.63"/>
    <col collapsed="false" customWidth="true" hidden="false" outlineLevel="0" max="30" min="30" style="0" width="1.75"/>
    <col collapsed="false" customWidth="true" hidden="false" outlineLevel="0" max="31" min="31" style="0" width="0.25"/>
    <col collapsed="false" customWidth="true" hidden="false" outlineLevel="0" max="32" min="32" style="0" width="1.63"/>
    <col collapsed="false" customWidth="true" hidden="false" outlineLevel="0" max="33" min="33" style="0" width="1.75"/>
    <col collapsed="false" customWidth="true" hidden="false" outlineLevel="0" max="34" min="34" style="0" width="0.25"/>
    <col collapsed="false" customWidth="true" hidden="false" outlineLevel="0" max="35" min="35" style="0" width="1.63"/>
    <col collapsed="false" customWidth="true" hidden="false" outlineLevel="0" max="36" min="36" style="0" width="1.75"/>
    <col collapsed="false" customWidth="true" hidden="false" outlineLevel="0" max="37" min="37" style="0" width="0.25"/>
    <col collapsed="false" customWidth="true" hidden="false" outlineLevel="0" max="39" min="38" style="0" width="1.63"/>
    <col collapsed="false" customWidth="true" hidden="false" outlineLevel="0" max="40" min="40" style="0" width="0.37"/>
    <col collapsed="false" customWidth="true" hidden="false" outlineLevel="0" max="42" min="41" style="0" width="1.63"/>
    <col collapsed="false" customWidth="true" hidden="false" outlineLevel="0" max="43" min="43" style="0" width="0.37"/>
    <col collapsed="false" customWidth="true" hidden="false" outlineLevel="0" max="44" min="44" style="0" width="1.63"/>
    <col collapsed="false" customWidth="true" hidden="false" outlineLevel="0" max="45" min="45" style="0" width="0.25"/>
    <col collapsed="false" customWidth="true" hidden="false" outlineLevel="0" max="46" min="46" style="0" width="1.37"/>
    <col collapsed="false" customWidth="true" hidden="false" outlineLevel="0" max="47" min="47" style="0" width="0.37"/>
    <col collapsed="false" customWidth="true" hidden="false" outlineLevel="0" max="48" min="48" style="0" width="1.63"/>
    <col collapsed="false" customWidth="true" hidden="false" outlineLevel="0" max="49" min="49" style="0" width="0.5"/>
    <col collapsed="false" customWidth="true" hidden="false" outlineLevel="0" max="50" min="50" style="0" width="1.12"/>
    <col collapsed="false" customWidth="true" hidden="false" outlineLevel="0" max="51" min="51" style="0" width="0.37"/>
    <col collapsed="false" customWidth="true" hidden="false" outlineLevel="0" max="52" min="52" style="0" width="1.63"/>
    <col collapsed="false" customWidth="true" hidden="false" outlineLevel="0" max="53" min="53" style="0" width="1.5"/>
    <col collapsed="false" customWidth="true" hidden="false" outlineLevel="0" max="54" min="54" style="0" width="0.37"/>
    <col collapsed="false" customWidth="true" hidden="false" outlineLevel="0" max="55" min="55" style="0" width="1.5"/>
    <col collapsed="false" customWidth="true" hidden="false" outlineLevel="0" max="56" min="56" style="0" width="3.37"/>
    <col collapsed="false" customWidth="true" hidden="false" outlineLevel="0" max="57" min="57" style="0" width="1.88"/>
  </cols>
  <sheetData>
    <row r="1" customFormat="false" ht="14.25" hidden="false" customHeight="true" outlineLevel="0" collapsed="false">
      <c r="P1" s="72" t="s">
        <v>1432</v>
      </c>
    </row>
    <row r="2" customFormat="false" ht="14.25" hidden="false" customHeight="true" outlineLevel="0" collapsed="false">
      <c r="F2" s="73" t="s">
        <v>1433</v>
      </c>
    </row>
    <row r="3" customFormat="false" ht="30" hidden="false" customHeight="true" outlineLevel="0" collapsed="false">
      <c r="A3" s="72" t="s">
        <v>1245</v>
      </c>
      <c r="G3" s="74" t="str">
        <f aca="false">v_name</f>
        <v>Sample Taxpayer</v>
      </c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</row>
    <row r="4" customFormat="false" ht="14.25" hidden="false" customHeight="true" outlineLevel="0" collapsed="false">
      <c r="J4" s="72" t="s">
        <v>1247</v>
      </c>
      <c r="P4" s="32"/>
      <c r="Q4" s="60"/>
      <c r="R4" s="76" t="str">
        <f aca="false">MID(v_tin,1,1)</f>
        <v>1</v>
      </c>
      <c r="S4" s="60"/>
      <c r="T4" s="62"/>
      <c r="U4" s="60"/>
      <c r="V4" s="76" t="str">
        <f aca="false">MID(v_tin,2,1)</f>
        <v>1</v>
      </c>
      <c r="W4" s="62"/>
      <c r="X4" s="60"/>
      <c r="Y4" s="76" t="str">
        <f aca="false">MID(v_tin,3,1)</f>
        <v>1</v>
      </c>
      <c r="Z4" s="62"/>
      <c r="AA4" s="60"/>
      <c r="AB4" s="76" t="str">
        <f aca="false">MID(v_tin,4,1)</f>
        <v>1</v>
      </c>
      <c r="AC4" s="62"/>
      <c r="AD4" s="60"/>
      <c r="AE4" s="76" t="str">
        <f aca="false">MID(v_tin,5,1)</f>
        <v>2</v>
      </c>
      <c r="AF4" s="62"/>
      <c r="AG4" s="60"/>
      <c r="AH4" s="76" t="str">
        <f aca="false">MID(v_tin,6,1)</f>
        <v>2</v>
      </c>
      <c r="AI4" s="62"/>
      <c r="AJ4" s="60"/>
      <c r="AK4" s="76" t="str">
        <f aca="false">MID(v_tin,7,1)</f>
        <v>2</v>
      </c>
      <c r="AL4" s="62"/>
      <c r="AM4" s="60"/>
      <c r="AN4" s="76" t="str">
        <f aca="false">MID(v_tin,8,1)</f>
        <v>2</v>
      </c>
      <c r="AO4" s="62"/>
      <c r="AP4" s="60"/>
      <c r="AQ4" s="76" t="str">
        <f aca="false">MID(v_tin,9,1)</f>
        <v>3</v>
      </c>
      <c r="AR4" s="62"/>
      <c r="AS4" s="29"/>
      <c r="AT4" s="29"/>
      <c r="AU4" s="88" t="str">
        <f aca="false">MID(v_tin,10,1)</f>
        <v>3</v>
      </c>
      <c r="AV4" s="40"/>
      <c r="AW4" s="29"/>
      <c r="AX4" s="29"/>
      <c r="AY4" s="88" t="str">
        <f aca="false">MID(v_tin,11,1)</f>
        <v>3</v>
      </c>
      <c r="AZ4" s="40"/>
      <c r="BA4" s="29"/>
      <c r="BB4" s="88" t="str">
        <f aca="false">MID(v_tin,12,1)</f>
        <v>3</v>
      </c>
      <c r="BC4" s="40"/>
    </row>
    <row r="5" customFormat="false" ht="26.25" hidden="false" customHeight="true" outlineLevel="0" collapsed="false">
      <c r="A5" s="73" t="s">
        <v>1434</v>
      </c>
      <c r="H5" s="103" t="str">
        <f aca="false">v_s4_name</f>
        <v/>
      </c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</row>
    <row r="6" customFormat="false" ht="15" hidden="false" customHeight="true" outlineLevel="0" collapsed="false">
      <c r="J6" s="73" t="s">
        <v>1435</v>
      </c>
      <c r="AE6" s="103" t="str">
        <f aca="false">v_s4_nature</f>
        <v/>
      </c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</row>
    <row r="7" customFormat="false" ht="14.25" hidden="false" customHeight="true" outlineLevel="0" collapsed="false">
      <c r="A7" s="73" t="s">
        <v>1286</v>
      </c>
      <c r="E7" s="103" t="str">
        <f aca="false">v_s4_address</f>
        <v/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</row>
    <row r="8" customFormat="false" ht="11.25" hidden="false" customHeight="true" outlineLevel="0" collapsed="false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</row>
    <row r="9" customFormat="false" ht="14.25" hidden="false" customHeight="true" outlineLevel="0" collapsed="false">
      <c r="A9" s="43"/>
      <c r="B9" s="29"/>
      <c r="C9" s="29"/>
      <c r="D9" s="79" t="s">
        <v>1426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40"/>
      <c r="AP9" s="29"/>
      <c r="AQ9" s="29"/>
      <c r="AR9" s="29"/>
      <c r="AS9" s="29"/>
      <c r="AT9" s="79" t="s">
        <v>214</v>
      </c>
      <c r="AU9" s="29"/>
      <c r="AV9" s="29"/>
      <c r="AW9" s="29"/>
      <c r="AX9" s="29"/>
      <c r="AY9" s="29"/>
      <c r="AZ9" s="29"/>
      <c r="BA9" s="79" t="s">
        <v>1251</v>
      </c>
      <c r="BB9" s="29"/>
      <c r="BC9" s="29"/>
      <c r="BD9" s="40"/>
    </row>
    <row r="10" customFormat="false" ht="13.5" hidden="false" customHeight="true" outlineLevel="0" collapsed="false">
      <c r="A10" s="43"/>
      <c r="B10" s="29"/>
      <c r="C10" s="94" t="s">
        <v>1264</v>
      </c>
      <c r="D10" s="79" t="s">
        <v>1427</v>
      </c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40"/>
      <c r="AP10" s="29"/>
      <c r="AQ10" s="29"/>
      <c r="AR10" s="29"/>
      <c r="AS10" s="29"/>
      <c r="AT10" s="29"/>
      <c r="AU10" s="29"/>
      <c r="AV10" s="95" t="n">
        <f aca="false">v_s4_r1</f>
        <v>0</v>
      </c>
      <c r="AW10" s="95"/>
      <c r="AX10" s="95"/>
      <c r="AY10" s="95"/>
      <c r="AZ10" s="95"/>
      <c r="BA10" s="95"/>
      <c r="BB10" s="95"/>
      <c r="BC10" s="95"/>
      <c r="BD10" s="95"/>
      <c r="BE10" s="31"/>
    </row>
    <row r="11" customFormat="false" ht="14.25" hidden="false" customHeight="true" outlineLevel="0" collapsed="false">
      <c r="A11" s="43"/>
      <c r="B11" s="29"/>
      <c r="C11" s="94" t="s">
        <v>1265</v>
      </c>
      <c r="D11" s="79" t="s">
        <v>1428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40"/>
      <c r="AP11" s="29"/>
      <c r="AQ11" s="29"/>
      <c r="AR11" s="29"/>
      <c r="AS11" s="29"/>
      <c r="AT11" s="29"/>
      <c r="AU11" s="29"/>
      <c r="AV11" s="95" t="n">
        <f aca="false">v_s4_r2</f>
        <v>0</v>
      </c>
      <c r="AW11" s="95"/>
      <c r="AX11" s="95"/>
      <c r="AY11" s="95"/>
      <c r="AZ11" s="95"/>
      <c r="BA11" s="95"/>
      <c r="BB11" s="95"/>
      <c r="BC11" s="95"/>
      <c r="BD11" s="95"/>
      <c r="BE11" s="31"/>
    </row>
    <row r="12" customFormat="false" ht="13.5" hidden="false" customHeight="true" outlineLevel="0" collapsed="false">
      <c r="A12" s="43"/>
      <c r="B12" s="29"/>
      <c r="C12" s="94" t="s">
        <v>1266</v>
      </c>
      <c r="D12" s="79" t="s">
        <v>1436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40"/>
      <c r="AP12" s="29"/>
      <c r="AQ12" s="29"/>
      <c r="AR12" s="29"/>
      <c r="AS12" s="29"/>
      <c r="AT12" s="29"/>
      <c r="AU12" s="29"/>
      <c r="AV12" s="95" t="n">
        <f aca="false">v_s4_r3</f>
        <v>0</v>
      </c>
      <c r="AW12" s="95"/>
      <c r="AX12" s="95"/>
      <c r="AY12" s="95"/>
      <c r="AZ12" s="95"/>
      <c r="BA12" s="95"/>
      <c r="BB12" s="95"/>
      <c r="BC12" s="95"/>
      <c r="BD12" s="95"/>
      <c r="BE12" s="31"/>
    </row>
    <row r="13" customFormat="false" ht="14.25" hidden="false" customHeight="true" outlineLevel="0" collapsed="false">
      <c r="A13" s="43"/>
      <c r="B13" s="29"/>
      <c r="C13" s="94" t="s">
        <v>1267</v>
      </c>
      <c r="D13" s="79" t="s">
        <v>1437</v>
      </c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40"/>
      <c r="AP13" s="29"/>
      <c r="AQ13" s="29"/>
      <c r="AR13" s="29"/>
      <c r="AS13" s="29"/>
      <c r="AT13" s="29"/>
      <c r="AU13" s="29"/>
      <c r="AV13" s="95" t="n">
        <f aca="false">v_s4_r4</f>
        <v>0</v>
      </c>
      <c r="AW13" s="95"/>
      <c r="AX13" s="95"/>
      <c r="AY13" s="95"/>
      <c r="AZ13" s="95"/>
      <c r="BA13" s="95"/>
      <c r="BB13" s="95"/>
      <c r="BC13" s="95"/>
      <c r="BD13" s="95"/>
      <c r="BE13" s="31"/>
    </row>
    <row r="14" customFormat="false" ht="15" hidden="false" customHeight="true" outlineLevel="0" collapsed="false">
      <c r="A14" s="43"/>
      <c r="B14" s="29"/>
      <c r="C14" s="94" t="s">
        <v>1270</v>
      </c>
      <c r="D14" s="106" t="s">
        <v>1438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40"/>
      <c r="AP14" s="29"/>
      <c r="AQ14" s="29"/>
      <c r="AR14" s="29"/>
      <c r="AS14" s="29"/>
      <c r="AT14" s="29"/>
      <c r="AU14" s="29"/>
      <c r="AV14" s="85" t="n">
        <f aca="false">v_s4_r5</f>
        <v>0</v>
      </c>
      <c r="AW14" s="85"/>
      <c r="AX14" s="85"/>
      <c r="AY14" s="85"/>
      <c r="AZ14" s="85"/>
      <c r="BA14" s="85"/>
      <c r="BB14" s="85"/>
      <c r="BC14" s="85"/>
      <c r="BD14" s="85"/>
      <c r="BE14" s="31"/>
    </row>
    <row r="15" customFormat="false" ht="14.25" hidden="false" customHeight="true" outlineLevel="0" collapsed="false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60"/>
      <c r="AW15" s="60"/>
      <c r="AX15" s="60"/>
      <c r="AY15" s="60"/>
      <c r="AZ15" s="60"/>
      <c r="BA15" s="60"/>
      <c r="BB15" s="60"/>
      <c r="BC15" s="60"/>
      <c r="BD15" s="60"/>
    </row>
    <row r="16" customFormat="false" ht="14.25" hidden="false" customHeight="true" outlineLevel="0" collapsed="false">
      <c r="A16" s="43"/>
      <c r="B16" s="29"/>
      <c r="C16" s="29"/>
      <c r="D16" s="79" t="s">
        <v>1439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40"/>
      <c r="AP16" s="29"/>
      <c r="AQ16" s="29"/>
      <c r="AR16" s="29"/>
      <c r="AS16" s="29"/>
      <c r="AT16" s="79" t="s">
        <v>214</v>
      </c>
      <c r="AU16" s="29"/>
      <c r="AV16" s="29"/>
      <c r="AW16" s="29"/>
      <c r="AX16" s="29"/>
      <c r="AY16" s="29"/>
      <c r="AZ16" s="29"/>
      <c r="BA16" s="79" t="s">
        <v>1251</v>
      </c>
      <c r="BB16" s="29"/>
      <c r="BC16" s="29"/>
      <c r="BD16" s="40"/>
    </row>
    <row r="17" customFormat="false" ht="13.5" hidden="false" customHeight="true" outlineLevel="0" collapsed="false">
      <c r="A17" s="43"/>
      <c r="B17" s="29"/>
      <c r="C17" s="94" t="s">
        <v>1310</v>
      </c>
      <c r="D17" s="79" t="s">
        <v>1440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40"/>
      <c r="AP17" s="29"/>
      <c r="AQ17" s="29"/>
      <c r="AR17" s="29"/>
      <c r="AS17" s="29"/>
      <c r="AT17" s="29"/>
      <c r="AU17" s="29"/>
      <c r="AV17" s="95" t="n">
        <f aca="false">v_s4_r6</f>
        <v>0</v>
      </c>
      <c r="AW17" s="95"/>
      <c r="AX17" s="95"/>
      <c r="AY17" s="95"/>
      <c r="AZ17" s="95"/>
      <c r="BA17" s="95"/>
      <c r="BB17" s="95"/>
      <c r="BC17" s="95"/>
      <c r="BD17" s="95"/>
      <c r="BE17" s="31"/>
    </row>
    <row r="18" customFormat="false" ht="13.5" hidden="false" customHeight="true" outlineLevel="0" collapsed="false">
      <c r="A18" s="43"/>
      <c r="B18" s="29"/>
      <c r="C18" s="94" t="s">
        <v>1273</v>
      </c>
      <c r="D18" s="79" t="s">
        <v>136</v>
      </c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40"/>
      <c r="AP18" s="29"/>
      <c r="AQ18" s="29"/>
      <c r="AR18" s="29"/>
      <c r="AS18" s="29"/>
      <c r="AT18" s="29"/>
      <c r="AU18" s="29"/>
      <c r="AV18" s="95" t="n">
        <f aca="false">v_s4_r7</f>
        <v>0</v>
      </c>
      <c r="AW18" s="95"/>
      <c r="AX18" s="95"/>
      <c r="AY18" s="95"/>
      <c r="AZ18" s="95"/>
      <c r="BA18" s="95"/>
      <c r="BB18" s="95"/>
      <c r="BC18" s="95"/>
      <c r="BD18" s="95"/>
      <c r="BE18" s="31"/>
    </row>
    <row r="19" customFormat="false" ht="14.25" hidden="false" customHeight="true" outlineLevel="0" collapsed="false">
      <c r="A19" s="43"/>
      <c r="B19" s="29"/>
      <c r="C19" s="94" t="s">
        <v>1280</v>
      </c>
      <c r="D19" s="79" t="s">
        <v>1441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40"/>
      <c r="AP19" s="29"/>
      <c r="AQ19" s="29"/>
      <c r="AR19" s="29"/>
      <c r="AS19" s="29"/>
      <c r="AT19" s="29"/>
      <c r="AU19" s="29"/>
      <c r="AV19" s="95" t="n">
        <f aca="false">v_s4_r8</f>
        <v>0</v>
      </c>
      <c r="AW19" s="95"/>
      <c r="AX19" s="95"/>
      <c r="AY19" s="95"/>
      <c r="AZ19" s="95"/>
      <c r="BA19" s="95"/>
      <c r="BB19" s="95"/>
      <c r="BC19" s="95"/>
      <c r="BD19" s="95"/>
      <c r="BE19" s="31"/>
    </row>
    <row r="20" customFormat="false" ht="14.25" hidden="false" customHeight="true" outlineLevel="0" collapsed="false">
      <c r="A20" s="43"/>
      <c r="B20" s="29"/>
      <c r="C20" s="94" t="s">
        <v>1282</v>
      </c>
      <c r="D20" s="79" t="s">
        <v>1442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40"/>
      <c r="AP20" s="29"/>
      <c r="AQ20" s="29"/>
      <c r="AR20" s="29"/>
      <c r="AS20" s="29"/>
      <c r="AT20" s="29"/>
      <c r="AU20" s="29"/>
      <c r="AV20" s="95" t="n">
        <f aca="false">v_s4_r9</f>
        <v>0</v>
      </c>
      <c r="AW20" s="95"/>
      <c r="AX20" s="95"/>
      <c r="AY20" s="95"/>
      <c r="AZ20" s="95"/>
      <c r="BA20" s="95"/>
      <c r="BB20" s="95"/>
      <c r="BC20" s="95"/>
      <c r="BD20" s="95"/>
      <c r="BE20" s="31"/>
    </row>
    <row r="21" customFormat="false" ht="13.5" hidden="false" customHeight="true" outlineLevel="0" collapsed="false">
      <c r="A21" s="43"/>
      <c r="B21" s="79" t="s">
        <v>1285</v>
      </c>
      <c r="C21" s="40"/>
      <c r="D21" s="107" t="s">
        <v>1443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40"/>
      <c r="AP21" s="29"/>
      <c r="AQ21" s="29"/>
      <c r="AR21" s="29"/>
      <c r="AS21" s="29"/>
      <c r="AT21" s="29"/>
      <c r="AU21" s="29"/>
      <c r="AV21" s="108" t="n">
        <f aca="false">v_s4_r10</f>
        <v>0</v>
      </c>
      <c r="AW21" s="108"/>
      <c r="AX21" s="108"/>
      <c r="AY21" s="108"/>
      <c r="AZ21" s="108"/>
      <c r="BA21" s="108"/>
      <c r="BB21" s="108"/>
      <c r="BC21" s="108"/>
      <c r="BD21" s="108"/>
      <c r="BE21" s="31"/>
    </row>
    <row r="22" customFormat="false" ht="14.25" hidden="false" customHeight="true" outlineLevel="0" collapsed="false">
      <c r="A22" s="43"/>
      <c r="B22" s="79" t="s">
        <v>1290</v>
      </c>
      <c r="C22" s="40"/>
      <c r="D22" s="79" t="s">
        <v>1444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40"/>
      <c r="AP22" s="29"/>
      <c r="AQ22" s="29"/>
      <c r="AR22" s="29"/>
      <c r="AS22" s="29"/>
      <c r="AT22" s="29"/>
      <c r="AU22" s="29"/>
      <c r="AV22" s="95" t="n">
        <f aca="false">v_s4_r11</f>
        <v>0</v>
      </c>
      <c r="AW22" s="95"/>
      <c r="AX22" s="95"/>
      <c r="AY22" s="95"/>
      <c r="AZ22" s="95"/>
      <c r="BA22" s="95"/>
      <c r="BB22" s="95"/>
      <c r="BC22" s="95"/>
      <c r="BD22" s="95"/>
      <c r="BE22" s="31"/>
    </row>
    <row r="23" customFormat="false" ht="13.5" hidden="false" customHeight="true" outlineLevel="0" collapsed="false">
      <c r="A23" s="43"/>
      <c r="B23" s="79" t="s">
        <v>1293</v>
      </c>
      <c r="C23" s="40"/>
      <c r="D23" s="79" t="s">
        <v>807</v>
      </c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40"/>
      <c r="AP23" s="29"/>
      <c r="AQ23" s="29"/>
      <c r="AR23" s="29"/>
      <c r="AS23" s="29"/>
      <c r="AT23" s="29"/>
      <c r="AU23" s="29"/>
      <c r="AV23" s="95" t="n">
        <f aca="false">v_s4_r12</f>
        <v>0</v>
      </c>
      <c r="AW23" s="95"/>
      <c r="AX23" s="95"/>
      <c r="AY23" s="95"/>
      <c r="AZ23" s="95"/>
      <c r="BA23" s="95"/>
      <c r="BB23" s="95"/>
      <c r="BC23" s="95"/>
      <c r="BD23" s="95"/>
      <c r="BE23" s="31"/>
    </row>
    <row r="24" customFormat="false" ht="14.25" hidden="false" customHeight="true" outlineLevel="0" collapsed="false">
      <c r="A24" s="43"/>
      <c r="B24" s="79" t="s">
        <v>1296</v>
      </c>
      <c r="C24" s="40"/>
      <c r="D24" s="79" t="s">
        <v>1445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40"/>
      <c r="AP24" s="29"/>
      <c r="AQ24" s="29"/>
      <c r="AR24" s="29"/>
      <c r="AS24" s="29"/>
      <c r="AT24" s="29"/>
      <c r="AU24" s="29"/>
      <c r="AV24" s="95" t="n">
        <f aca="false">v_s4_r13</f>
        <v>0</v>
      </c>
      <c r="AW24" s="95"/>
      <c r="AX24" s="95"/>
      <c r="AY24" s="95"/>
      <c r="AZ24" s="95"/>
      <c r="BA24" s="95"/>
      <c r="BB24" s="95"/>
      <c r="BC24" s="95"/>
      <c r="BD24" s="95"/>
      <c r="BE24" s="31"/>
    </row>
    <row r="25" customFormat="false" ht="14.25" hidden="false" customHeight="true" outlineLevel="0" collapsed="false">
      <c r="A25" s="43"/>
      <c r="B25" s="79" t="s">
        <v>1322</v>
      </c>
      <c r="C25" s="40"/>
      <c r="D25" s="87" t="s">
        <v>1446</v>
      </c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40"/>
      <c r="AP25" s="29"/>
      <c r="AQ25" s="29"/>
      <c r="AR25" s="29"/>
      <c r="AS25" s="29"/>
      <c r="AT25" s="29"/>
      <c r="AU25" s="29"/>
      <c r="AV25" s="109" t="n">
        <f aca="false">v_s4_r14</f>
        <v>0</v>
      </c>
      <c r="AW25" s="109"/>
      <c r="AX25" s="109"/>
      <c r="AY25" s="109"/>
      <c r="AZ25" s="109"/>
      <c r="BA25" s="109"/>
      <c r="BB25" s="109"/>
      <c r="BC25" s="109"/>
      <c r="BD25" s="109"/>
      <c r="BE25" s="31"/>
    </row>
    <row r="26" customFormat="false" ht="15" hidden="false" customHeight="true" outlineLevel="0" collapsed="false">
      <c r="A26" s="43"/>
      <c r="B26" s="79" t="s">
        <v>1324</v>
      </c>
      <c r="C26" s="40"/>
      <c r="D26" s="87" t="s">
        <v>141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40"/>
      <c r="AP26" s="29"/>
      <c r="AQ26" s="29"/>
      <c r="AR26" s="29"/>
      <c r="AS26" s="29"/>
      <c r="AT26" s="29"/>
      <c r="AU26" s="29"/>
      <c r="AV26" s="95" t="n">
        <f aca="false">v_s4_r15</f>
        <v>0</v>
      </c>
      <c r="AW26" s="95"/>
      <c r="AX26" s="95"/>
      <c r="AY26" s="95"/>
      <c r="AZ26" s="95"/>
      <c r="BA26" s="95"/>
      <c r="BB26" s="95"/>
      <c r="BC26" s="95"/>
      <c r="BD26" s="95"/>
      <c r="BE26" s="31"/>
    </row>
    <row r="27" customFormat="false" ht="14.25" hidden="false" customHeight="true" outlineLevel="0" collapsed="false">
      <c r="A27" s="43"/>
      <c r="B27" s="79" t="s">
        <v>1325</v>
      </c>
      <c r="C27" s="40"/>
      <c r="D27" s="106" t="s">
        <v>1447</v>
      </c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40"/>
      <c r="AP27" s="29"/>
      <c r="AQ27" s="29"/>
      <c r="AR27" s="29"/>
      <c r="AS27" s="29"/>
      <c r="AT27" s="29"/>
      <c r="AU27" s="29"/>
      <c r="AV27" s="85" t="n">
        <f aca="false">v_s4_r16</f>
        <v>0</v>
      </c>
      <c r="AW27" s="85"/>
      <c r="AX27" s="85"/>
      <c r="AY27" s="85"/>
      <c r="AZ27" s="85"/>
      <c r="BA27" s="85"/>
      <c r="BB27" s="85"/>
      <c r="BC27" s="85"/>
      <c r="BD27" s="85"/>
      <c r="BE27" s="31"/>
    </row>
    <row r="28" customFormat="false" ht="24.75" hidden="false" customHeight="true" outlineLevel="0" collapsed="false">
      <c r="P28" s="72" t="s">
        <v>1448</v>
      </c>
      <c r="AV28" s="83"/>
      <c r="AW28" s="83"/>
      <c r="AX28" s="83"/>
      <c r="AY28" s="83"/>
      <c r="AZ28" s="83"/>
      <c r="BA28" s="83"/>
      <c r="BB28" s="83"/>
      <c r="BC28" s="83"/>
      <c r="BD28" s="83"/>
    </row>
    <row r="29" customFormat="false" ht="14.25" hidden="false" customHeight="true" outlineLevel="0" collapsed="false">
      <c r="F29" s="73" t="s">
        <v>1449</v>
      </c>
    </row>
    <row r="30" customFormat="false" ht="24.75" hidden="false" customHeight="true" outlineLevel="0" collapsed="false">
      <c r="A30" s="72" t="s">
        <v>1245</v>
      </c>
      <c r="G30" s="74" t="str">
        <f aca="false">v_name</f>
        <v>Sample Taxpayer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29"/>
      <c r="AT30" s="29"/>
      <c r="AU30" s="29"/>
      <c r="AV30" s="29"/>
    </row>
    <row r="31" customFormat="false" ht="14.25" hidden="false" customHeight="true" outlineLevel="0" collapsed="false">
      <c r="I31" s="75" t="s">
        <v>1247</v>
      </c>
      <c r="J31" s="60"/>
      <c r="K31" s="76" t="str">
        <f aca="false">MID(v_tin,1,1)</f>
        <v>1</v>
      </c>
      <c r="L31" s="62"/>
      <c r="M31" s="60"/>
      <c r="N31" s="76" t="str">
        <f aca="false">MID(v_tin,2,1)</f>
        <v>1</v>
      </c>
      <c r="O31" s="60"/>
      <c r="P31" s="62"/>
      <c r="Q31" s="60"/>
      <c r="R31" s="76" t="str">
        <f aca="false">MID(v_tin,3,1)</f>
        <v>1</v>
      </c>
      <c r="S31" s="60"/>
      <c r="T31" s="62"/>
      <c r="U31" s="60"/>
      <c r="V31" s="76" t="str">
        <f aca="false">MID(v_tin,4,1)</f>
        <v>1</v>
      </c>
      <c r="W31" s="62"/>
      <c r="X31" s="60"/>
      <c r="Y31" s="76" t="str">
        <f aca="false">MID(v_tin,5,1)</f>
        <v>2</v>
      </c>
      <c r="Z31" s="62"/>
      <c r="AA31" s="60"/>
      <c r="AB31" s="76" t="str">
        <f aca="false">MID(v_tin,6,1)</f>
        <v>2</v>
      </c>
      <c r="AC31" s="62"/>
      <c r="AD31" s="60"/>
      <c r="AE31" s="76" t="str">
        <f aca="false">MID(v_tin,7,1)</f>
        <v>2</v>
      </c>
      <c r="AF31" s="62"/>
      <c r="AG31" s="60"/>
      <c r="AH31" s="76" t="str">
        <f aca="false">MID(v_tin,8,1)</f>
        <v>2</v>
      </c>
      <c r="AI31" s="62"/>
      <c r="AJ31" s="60"/>
      <c r="AK31" s="76" t="str">
        <f aca="false">MID(v_tin,9,1)</f>
        <v>3</v>
      </c>
      <c r="AL31" s="62"/>
      <c r="AM31" s="60"/>
      <c r="AN31" s="76" t="str">
        <f aca="false">MID(v_tin,10,1)</f>
        <v>3</v>
      </c>
      <c r="AO31" s="62"/>
      <c r="AP31" s="60"/>
      <c r="AQ31" s="76" t="str">
        <f aca="false">MID(v_tin,11,1)</f>
        <v>3</v>
      </c>
      <c r="AR31" s="62"/>
      <c r="AS31" s="29"/>
      <c r="AT31" s="29"/>
      <c r="AU31" s="88" t="str">
        <f aca="false">MID(v_tin,12,1)</f>
        <v>3</v>
      </c>
      <c r="AV31" s="40"/>
    </row>
    <row r="32" customFormat="false" ht="23.25" hidden="false" customHeight="true" outlineLevel="0" collapsed="false">
      <c r="A32" s="110" t="s">
        <v>1450</v>
      </c>
    </row>
    <row r="33" customFormat="false" ht="9.75" hidden="false" customHeight="true" outlineLevel="0" collapsed="false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</row>
    <row r="34" customFormat="false" ht="14.25" hidden="false" customHeight="true" outlineLevel="0" collapsed="false">
      <c r="A34" s="43"/>
      <c r="B34" s="29"/>
      <c r="C34" s="29"/>
      <c r="D34" s="79" t="s">
        <v>1451</v>
      </c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40"/>
      <c r="AP34" s="29"/>
      <c r="AQ34" s="29"/>
      <c r="AR34" s="29"/>
      <c r="AS34" s="29"/>
      <c r="AT34" s="79" t="s">
        <v>214</v>
      </c>
      <c r="AU34" s="29"/>
      <c r="AV34" s="29"/>
      <c r="AW34" s="29"/>
      <c r="AX34" s="29"/>
      <c r="AY34" s="29"/>
      <c r="AZ34" s="29"/>
      <c r="BA34" s="79" t="s">
        <v>1251</v>
      </c>
      <c r="BB34" s="29"/>
      <c r="BC34" s="29"/>
      <c r="BD34" s="40"/>
    </row>
    <row r="35" customFormat="false" ht="13.5" hidden="false" customHeight="true" outlineLevel="0" collapsed="false">
      <c r="A35" s="43"/>
      <c r="B35" s="29"/>
      <c r="C35" s="94" t="s">
        <v>1264</v>
      </c>
      <c r="D35" s="111" t="s">
        <v>1452</v>
      </c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40"/>
      <c r="AP35" s="29"/>
      <c r="AQ35" s="29"/>
      <c r="AR35" s="29"/>
      <c r="AS35" s="29"/>
      <c r="AT35" s="29"/>
      <c r="AU35" s="29"/>
      <c r="AV35" s="95" t="str">
        <f aca="false">IF(N(v_s5_r1)=0,"",v_s5_r1)</f>
        <v/>
      </c>
      <c r="AW35" s="95"/>
      <c r="AX35" s="95"/>
      <c r="AY35" s="95"/>
      <c r="AZ35" s="95"/>
      <c r="BA35" s="95"/>
      <c r="BB35" s="95"/>
      <c r="BC35" s="95"/>
      <c r="BD35" s="95"/>
      <c r="BE35" s="31"/>
    </row>
    <row r="36" customFormat="false" ht="14.25" hidden="false" customHeight="true" outlineLevel="0" collapsed="false">
      <c r="A36" s="43"/>
      <c r="B36" s="29"/>
      <c r="C36" s="94" t="s">
        <v>1265</v>
      </c>
      <c r="D36" s="111" t="s">
        <v>1453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40"/>
      <c r="AP36" s="29"/>
      <c r="AQ36" s="29"/>
      <c r="AR36" s="29"/>
      <c r="AS36" s="29"/>
      <c r="AT36" s="29"/>
      <c r="AU36" s="29"/>
      <c r="AV36" s="95" t="n">
        <f aca="false">v_s5_r2</f>
        <v>0</v>
      </c>
      <c r="AW36" s="95"/>
      <c r="AX36" s="95"/>
      <c r="AY36" s="95"/>
      <c r="AZ36" s="95"/>
      <c r="BA36" s="95"/>
      <c r="BB36" s="95"/>
      <c r="BC36" s="95"/>
      <c r="BD36" s="95"/>
      <c r="BE36" s="31"/>
    </row>
    <row r="37" customFormat="false" ht="13.5" hidden="false" customHeight="true" outlineLevel="0" collapsed="false">
      <c r="A37" s="43"/>
      <c r="B37" s="29"/>
      <c r="C37" s="94" t="s">
        <v>1266</v>
      </c>
      <c r="D37" s="111" t="s">
        <v>1454</v>
      </c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40"/>
      <c r="AP37" s="29"/>
      <c r="AQ37" s="29"/>
      <c r="AR37" s="29"/>
      <c r="AS37" s="29"/>
      <c r="AT37" s="29"/>
      <c r="AU37" s="29"/>
      <c r="AV37" s="60"/>
      <c r="AW37" s="60"/>
      <c r="AX37" s="95" t="str">
        <f aca="false">IF(N(v_s5_r3)=0,"",v_s5_r3)</f>
        <v/>
      </c>
      <c r="AY37" s="95"/>
      <c r="AZ37" s="95"/>
      <c r="BA37" s="95"/>
      <c r="BB37" s="95"/>
      <c r="BC37" s="95"/>
      <c r="BD37" s="95"/>
      <c r="BE37" s="31"/>
    </row>
    <row r="38" customFormat="false" ht="14.25" hidden="false" customHeight="true" outlineLevel="0" collapsed="false">
      <c r="A38" s="43"/>
      <c r="B38" s="29"/>
      <c r="C38" s="94" t="s">
        <v>1267</v>
      </c>
      <c r="D38" s="111" t="s">
        <v>1455</v>
      </c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40"/>
      <c r="AP38" s="29"/>
      <c r="AQ38" s="29"/>
      <c r="AR38" s="29"/>
      <c r="AS38" s="29"/>
      <c r="AT38" s="29"/>
      <c r="AU38" s="29"/>
      <c r="AV38" s="95" t="str">
        <f aca="false">IF(N(v_s5_r4)=0,"",v_s5_r4)</f>
        <v/>
      </c>
      <c r="AW38" s="95"/>
      <c r="AX38" s="95"/>
      <c r="AY38" s="95"/>
      <c r="AZ38" s="95"/>
      <c r="BA38" s="95"/>
      <c r="BB38" s="95"/>
      <c r="BC38" s="95"/>
      <c r="BD38" s="95"/>
      <c r="BE38" s="31"/>
    </row>
    <row r="39" customFormat="false" ht="13.5" hidden="false" customHeight="true" outlineLevel="0" collapsed="false">
      <c r="A39" s="43"/>
      <c r="B39" s="29"/>
      <c r="C39" s="94" t="s">
        <v>1270</v>
      </c>
      <c r="D39" s="111" t="s">
        <v>1456</v>
      </c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111" t="s">
        <v>1457</v>
      </c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40"/>
      <c r="AP39" s="29"/>
      <c r="AQ39" s="29"/>
      <c r="AR39" s="29"/>
      <c r="AS39" s="29"/>
      <c r="AT39" s="29"/>
      <c r="AU39" s="29"/>
      <c r="AV39" s="95" t="str">
        <f aca="false">IF(N(v_s5_r5)=0,"",v_s5_r5)</f>
        <v/>
      </c>
      <c r="AW39" s="95"/>
      <c r="AX39" s="95"/>
      <c r="AY39" s="95"/>
      <c r="AZ39" s="95"/>
      <c r="BA39" s="95"/>
      <c r="BB39" s="95"/>
      <c r="BC39" s="95"/>
      <c r="BD39" s="95"/>
      <c r="BE39" s="31"/>
    </row>
    <row r="40" customFormat="false" ht="14.25" hidden="false" customHeight="true" outlineLevel="0" collapsed="false">
      <c r="A40" s="43"/>
      <c r="B40" s="29"/>
      <c r="C40" s="94" t="s">
        <v>1310</v>
      </c>
      <c r="D40" s="111" t="s">
        <v>1458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40"/>
      <c r="AP40" s="29"/>
      <c r="AQ40" s="29"/>
      <c r="AR40" s="29"/>
      <c r="AS40" s="29"/>
      <c r="AT40" s="29"/>
      <c r="AU40" s="29"/>
      <c r="AV40" s="95" t="str">
        <f aca="false">IF(N(v_s5_r6)=0,"",v_s5_r6)</f>
        <v/>
      </c>
      <c r="AW40" s="95"/>
      <c r="AX40" s="95"/>
      <c r="AY40" s="95"/>
      <c r="AZ40" s="95"/>
      <c r="BA40" s="95"/>
      <c r="BB40" s="95"/>
      <c r="BC40" s="95"/>
      <c r="BD40" s="95"/>
      <c r="BE40" s="31"/>
    </row>
    <row r="41" customFormat="false" ht="14.25" hidden="false" customHeight="true" outlineLevel="0" collapsed="false">
      <c r="A41" s="43"/>
      <c r="B41" s="29"/>
      <c r="C41" s="94" t="s">
        <v>1273</v>
      </c>
      <c r="D41" s="111" t="s">
        <v>1459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40"/>
      <c r="AP41" s="29"/>
      <c r="AQ41" s="29"/>
      <c r="AR41" s="29"/>
      <c r="AS41" s="29"/>
      <c r="AT41" s="29"/>
      <c r="AU41" s="29"/>
      <c r="AV41" s="95" t="str">
        <f aca="false">IF(N(v_s5_r7)=0,"",v_s5_r7)</f>
        <v/>
      </c>
      <c r="AW41" s="95"/>
      <c r="AX41" s="95"/>
      <c r="AY41" s="95"/>
      <c r="AZ41" s="95"/>
      <c r="BA41" s="95"/>
      <c r="BB41" s="95"/>
      <c r="BC41" s="95"/>
      <c r="BD41" s="95"/>
      <c r="BE41" s="31"/>
    </row>
    <row r="42" customFormat="false" ht="13.5" hidden="false" customHeight="true" outlineLevel="0" collapsed="false">
      <c r="A42" s="43"/>
      <c r="B42" s="29"/>
      <c r="C42" s="94" t="s">
        <v>1280</v>
      </c>
      <c r="D42" s="111" t="s">
        <v>1460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40"/>
      <c r="AP42" s="29"/>
      <c r="AQ42" s="29"/>
      <c r="AR42" s="29"/>
      <c r="AS42" s="29"/>
      <c r="AT42" s="29"/>
      <c r="AU42" s="29"/>
      <c r="AV42" s="95" t="str">
        <f aca="false">IF(N(v_s5_r8)=0,"",v_s5_r8)</f>
        <v/>
      </c>
      <c r="AW42" s="95"/>
      <c r="AX42" s="95"/>
      <c r="AY42" s="95"/>
      <c r="AZ42" s="95"/>
      <c r="BA42" s="95"/>
      <c r="BB42" s="95"/>
      <c r="BC42" s="95"/>
      <c r="BD42" s="95"/>
      <c r="BE42" s="31"/>
    </row>
    <row r="43" customFormat="false" ht="14.25" hidden="false" customHeight="true" outlineLevel="0" collapsed="false">
      <c r="A43" s="43"/>
      <c r="B43" s="29"/>
      <c r="C43" s="94" t="s">
        <v>1282</v>
      </c>
      <c r="D43" s="111" t="s">
        <v>1461</v>
      </c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40"/>
      <c r="AP43" s="29"/>
      <c r="AQ43" s="29"/>
      <c r="AR43" s="29"/>
      <c r="AS43" s="29"/>
      <c r="AT43" s="29"/>
      <c r="AU43" s="29"/>
      <c r="AV43" s="95" t="str">
        <f aca="false">IF(N(v_s5_r9)=0,"",v_s5_r9)</f>
        <v/>
      </c>
      <c r="AW43" s="95"/>
      <c r="AX43" s="95"/>
      <c r="AY43" s="95"/>
      <c r="AZ43" s="95"/>
      <c r="BA43" s="95"/>
      <c r="BB43" s="95"/>
      <c r="BC43" s="95"/>
      <c r="BD43" s="95"/>
      <c r="BE43" s="31"/>
    </row>
    <row r="44" customFormat="false" ht="13.5" hidden="false" customHeight="true" outlineLevel="0" collapsed="false">
      <c r="A44" s="43"/>
      <c r="B44" s="79" t="s">
        <v>1285</v>
      </c>
      <c r="C44" s="40"/>
      <c r="D44" s="111" t="s">
        <v>1462</v>
      </c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40"/>
      <c r="AP44" s="29"/>
      <c r="AQ44" s="29"/>
      <c r="AR44" s="29"/>
      <c r="AS44" s="29"/>
      <c r="AT44" s="29"/>
      <c r="AU44" s="29"/>
      <c r="AV44" s="95" t="str">
        <f aca="false">IF(N(v_s5_r10)=0,"",v_s5_r10)</f>
        <v/>
      </c>
      <c r="AW44" s="95"/>
      <c r="AX44" s="95"/>
      <c r="AY44" s="95"/>
      <c r="AZ44" s="95"/>
      <c r="BA44" s="95"/>
      <c r="BB44" s="95"/>
      <c r="BC44" s="95"/>
      <c r="BD44" s="95"/>
      <c r="BE44" s="31"/>
    </row>
    <row r="45" customFormat="false" ht="14.25" hidden="false" customHeight="true" outlineLevel="0" collapsed="false">
      <c r="A45" s="43"/>
      <c r="B45" s="79" t="s">
        <v>1290</v>
      </c>
      <c r="C45" s="40"/>
      <c r="D45" s="111" t="s">
        <v>1463</v>
      </c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40"/>
      <c r="AP45" s="29"/>
      <c r="AQ45" s="29"/>
      <c r="AR45" s="29"/>
      <c r="AS45" s="29"/>
      <c r="AT45" s="29"/>
      <c r="AU45" s="29"/>
      <c r="AV45" s="95" t="n">
        <f aca="false">v_s5_r11</f>
        <v>0</v>
      </c>
      <c r="AW45" s="95"/>
      <c r="AX45" s="95"/>
      <c r="AY45" s="95"/>
      <c r="AZ45" s="95"/>
      <c r="BA45" s="95"/>
      <c r="BB45" s="95"/>
      <c r="BC45" s="95"/>
      <c r="BD45" s="95"/>
      <c r="BE45" s="31"/>
    </row>
    <row r="46" customFormat="false" ht="14.25" hidden="false" customHeight="true" outlineLevel="0" collapsed="false">
      <c r="A46" s="43"/>
      <c r="B46" s="79" t="s">
        <v>1293</v>
      </c>
      <c r="C46" s="40"/>
      <c r="D46" s="111" t="s">
        <v>1464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40"/>
      <c r="AP46" s="29"/>
      <c r="AQ46" s="29"/>
      <c r="AR46" s="29"/>
      <c r="AS46" s="29"/>
      <c r="AT46" s="29"/>
      <c r="AU46" s="29"/>
      <c r="AV46" s="96" t="n">
        <f aca="false">v_s5_r12</f>
        <v>0</v>
      </c>
      <c r="AW46" s="96"/>
      <c r="AX46" s="96"/>
      <c r="AY46" s="96"/>
      <c r="AZ46" s="96"/>
      <c r="BA46" s="96"/>
      <c r="BB46" s="96"/>
      <c r="BC46" s="96"/>
      <c r="BD46" s="96"/>
      <c r="BE46" s="31"/>
    </row>
    <row r="47" customFormat="false" ht="2.25" hidden="false" customHeight="true" outlineLevel="0" collapsed="false">
      <c r="AV47" s="83"/>
      <c r="AW47" s="83"/>
      <c r="AX47" s="83"/>
      <c r="AY47" s="83"/>
      <c r="AZ47" s="83"/>
      <c r="BA47" s="83"/>
      <c r="BB47" s="83"/>
      <c r="BC47" s="83"/>
      <c r="BD47" s="83"/>
    </row>
  </sheetData>
  <sheetProtection sheet="true"/>
  <mergeCells count="33">
    <mergeCell ref="G3:AR3"/>
    <mergeCell ref="H5:BE5"/>
    <mergeCell ref="AE6:BE6"/>
    <mergeCell ref="E7:BE7"/>
    <mergeCell ref="AV10:BD10"/>
    <mergeCell ref="AV11:BD11"/>
    <mergeCell ref="AV12:BD12"/>
    <mergeCell ref="AV13:BD13"/>
    <mergeCell ref="AV14:BD14"/>
    <mergeCell ref="AV17:BD17"/>
    <mergeCell ref="AV18:BD18"/>
    <mergeCell ref="AV19:BD19"/>
    <mergeCell ref="AV20:BD20"/>
    <mergeCell ref="AV21:BD21"/>
    <mergeCell ref="AV22:BD22"/>
    <mergeCell ref="AV23:BD23"/>
    <mergeCell ref="AV24:BD24"/>
    <mergeCell ref="AV25:BD25"/>
    <mergeCell ref="AV26:BD26"/>
    <mergeCell ref="AV27:BD27"/>
    <mergeCell ref="G30:AR30"/>
    <mergeCell ref="AV35:BD35"/>
    <mergeCell ref="AV36:BD36"/>
    <mergeCell ref="AX37:BD37"/>
    <mergeCell ref="AV38:BD38"/>
    <mergeCell ref="AV39:BD39"/>
    <mergeCell ref="AV40:BD40"/>
    <mergeCell ref="AV41:BD41"/>
    <mergeCell ref="AV42:BD42"/>
    <mergeCell ref="AV43:BD43"/>
    <mergeCell ref="AV44:BD44"/>
    <mergeCell ref="AV45:BD45"/>
    <mergeCell ref="AV46:BD46"/>
  </mergeCells>
  <printOptions headings="false" gridLines="false" gridLinesSet="true" horizontalCentered="false" verticalCentered="false"/>
  <pageMargins left="0.4625" right="0.371527777777778" top="0.757638888888889" bottom="1.1055555555555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2" min="1" style="0" width="0.5"/>
    <col collapsed="false" customWidth="true" hidden="false" outlineLevel="0" max="3" min="3" style="0" width="2.5"/>
    <col collapsed="false" customWidth="true" hidden="false" outlineLevel="0" max="4" min="4" style="0" width="18.12"/>
    <col collapsed="false" customWidth="true" hidden="false" outlineLevel="0" max="5" min="5" style="0" width="4.88"/>
    <col collapsed="false" customWidth="true" hidden="false" outlineLevel="0" max="6" min="6" style="0" width="2"/>
    <col collapsed="false" customWidth="true" hidden="false" outlineLevel="0" max="7" min="7" style="0" width="2.38"/>
    <col collapsed="false" customWidth="true" hidden="false" outlineLevel="0" max="8" min="8" style="0" width="1.63"/>
    <col collapsed="false" customWidth="true" hidden="false" outlineLevel="0" max="9" min="9" style="0" width="7.25"/>
    <col collapsed="false" customWidth="true" hidden="false" outlineLevel="0" max="11" min="10" style="0" width="0.87"/>
    <col collapsed="false" customWidth="true" hidden="false" outlineLevel="0" max="12" min="12" style="0" width="0.25"/>
    <col collapsed="false" customWidth="true" hidden="false" outlineLevel="0" max="13" min="13" style="0" width="1.63"/>
    <col collapsed="false" customWidth="true" hidden="false" outlineLevel="0" max="14" min="14" style="0" width="1.75"/>
    <col collapsed="false" customWidth="true" hidden="false" outlineLevel="0" max="15" min="15" style="0" width="0.25"/>
    <col collapsed="false" customWidth="true" hidden="false" outlineLevel="0" max="16" min="16" style="0" width="1.63"/>
    <col collapsed="false" customWidth="true" hidden="false" outlineLevel="0" max="17" min="17" style="0" width="1.75"/>
    <col collapsed="false" customWidth="true" hidden="false" outlineLevel="0" max="18" min="18" style="0" width="0.25"/>
    <col collapsed="false" customWidth="true" hidden="false" outlineLevel="0" max="19" min="19" style="0" width="1.63"/>
    <col collapsed="false" customWidth="true" hidden="false" outlineLevel="0" max="20" min="20" style="0" width="1.75"/>
    <col collapsed="false" customWidth="true" hidden="false" outlineLevel="0" max="21" min="21" style="0" width="0.25"/>
    <col collapsed="false" customWidth="true" hidden="false" outlineLevel="0" max="22" min="22" style="0" width="1.63"/>
    <col collapsed="false" customWidth="true" hidden="false" outlineLevel="0" max="23" min="23" style="0" width="1.75"/>
    <col collapsed="false" customWidth="true" hidden="false" outlineLevel="0" max="24" min="24" style="0" width="0.25"/>
    <col collapsed="false" customWidth="true" hidden="false" outlineLevel="0" max="25" min="25" style="0" width="1.63"/>
    <col collapsed="false" customWidth="true" hidden="false" outlineLevel="0" max="26" min="26" style="0" width="1.75"/>
    <col collapsed="false" customWidth="true" hidden="false" outlineLevel="0" max="28" min="27" style="0" width="0.25"/>
    <col collapsed="false" customWidth="true" hidden="false" outlineLevel="0" max="29" min="29" style="0" width="1.37"/>
    <col collapsed="false" customWidth="true" hidden="false" outlineLevel="0" max="30" min="30" style="0" width="1.75"/>
    <col collapsed="false" customWidth="true" hidden="false" outlineLevel="0" max="31" min="31" style="0" width="0.25"/>
    <col collapsed="false" customWidth="true" hidden="false" outlineLevel="0" max="33" min="32" style="0" width="1.63"/>
    <col collapsed="false" customWidth="true" hidden="false" outlineLevel="0" max="34" min="34" style="0" width="0.37"/>
    <col collapsed="false" customWidth="true" hidden="false" outlineLevel="0" max="35" min="35" style="0" width="0.75"/>
    <col collapsed="false" customWidth="true" hidden="false" outlineLevel="0" max="36" min="36" style="0" width="0.87"/>
    <col collapsed="false" customWidth="true" hidden="false" outlineLevel="0" max="37" min="37" style="0" width="1.12"/>
    <col collapsed="false" customWidth="true" hidden="false" outlineLevel="0" max="38" min="38" style="0" width="0.5"/>
    <col collapsed="false" customWidth="true" hidden="false" outlineLevel="0" max="39" min="39" style="0" width="0.37"/>
    <col collapsed="false" customWidth="true" hidden="false" outlineLevel="0" max="41" min="40" style="0" width="1.63"/>
    <col collapsed="false" customWidth="true" hidden="false" outlineLevel="0" max="43" min="42" style="0" width="0.37"/>
    <col collapsed="false" customWidth="true" hidden="false" outlineLevel="0" max="44" min="44" style="0" width="1.25"/>
    <col collapsed="false" customWidth="true" hidden="false" outlineLevel="0" max="45" min="45" style="0" width="1.63"/>
    <col collapsed="false" customWidth="true" hidden="false" outlineLevel="0" max="46" min="46" style="0" width="0.37"/>
    <col collapsed="false" customWidth="true" hidden="false" outlineLevel="0" max="47" min="47" style="0" width="1.12"/>
    <col collapsed="false" customWidth="true" hidden="false" outlineLevel="0" max="48" min="48" style="0" width="0.5"/>
    <col collapsed="false" customWidth="true" hidden="false" outlineLevel="0" max="49" min="49" style="0" width="1.5"/>
    <col collapsed="false" customWidth="true" hidden="false" outlineLevel="0" max="50" min="50" style="0" width="0.5"/>
    <col collapsed="false" customWidth="true" hidden="false" outlineLevel="0" max="51" min="51" style="0" width="0.37"/>
    <col collapsed="false" customWidth="true" hidden="false" outlineLevel="0" max="52" min="52" style="0" width="1"/>
    <col collapsed="false" customWidth="true" hidden="false" outlineLevel="0" max="53" min="53" style="0" width="7.5"/>
    <col collapsed="false" customWidth="true" hidden="false" outlineLevel="0" max="54" min="54" style="0" width="0.75"/>
    <col collapsed="false" customWidth="true" hidden="false" outlineLevel="0" max="55" min="55" style="0" width="0.12"/>
  </cols>
  <sheetData>
    <row r="1" customFormat="false" ht="14.25" hidden="false" customHeight="true" outlineLevel="0" collapsed="false">
      <c r="AL1" s="73" t="s">
        <v>1465</v>
      </c>
    </row>
    <row r="2" customFormat="false" ht="14.25" hidden="false" customHeight="true" outlineLevel="0" collapsed="false">
      <c r="G2" s="72" t="s">
        <v>1466</v>
      </c>
    </row>
    <row r="3" customFormat="false" ht="14.25" hidden="false" customHeight="true" outlineLevel="0" collapsed="false">
      <c r="H3" s="73" t="s">
        <v>1467</v>
      </c>
    </row>
    <row r="4" customFormat="false" ht="30" hidden="false" customHeight="true" outlineLevel="0" collapsed="false">
      <c r="A4" s="72" t="s">
        <v>1245</v>
      </c>
      <c r="E4" s="74" t="str">
        <f aca="false">v_name</f>
        <v>Sample Taxpayer</v>
      </c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</row>
    <row r="5" customFormat="false" ht="14.25" hidden="false" customHeight="true" outlineLevel="0" collapsed="false">
      <c r="I5" s="75" t="s">
        <v>1247</v>
      </c>
      <c r="J5" s="60"/>
      <c r="K5" s="60"/>
      <c r="L5" s="76" t="str">
        <f aca="false">MID(v_tin,1,1)</f>
        <v>1</v>
      </c>
      <c r="M5" s="62"/>
      <c r="N5" s="60"/>
      <c r="O5" s="76" t="str">
        <f aca="false">MID(v_tin,2,1)</f>
        <v>1</v>
      </c>
      <c r="P5" s="62"/>
      <c r="Q5" s="60"/>
      <c r="R5" s="76" t="str">
        <f aca="false">MID(v_tin,3,1)</f>
        <v>1</v>
      </c>
      <c r="S5" s="62"/>
      <c r="T5" s="60"/>
      <c r="U5" s="76" t="str">
        <f aca="false">MID(v_tin,4,1)</f>
        <v>1</v>
      </c>
      <c r="V5" s="62"/>
      <c r="W5" s="60"/>
      <c r="X5" s="76" t="str">
        <f aca="false">MID(v_tin,5,1)</f>
        <v>2</v>
      </c>
      <c r="Y5" s="62"/>
      <c r="Z5" s="60"/>
      <c r="AA5" s="76" t="str">
        <f aca="false">MID(v_tin,6,1)</f>
        <v>2</v>
      </c>
      <c r="AB5" s="60"/>
      <c r="AC5" s="62"/>
      <c r="AD5" s="60"/>
      <c r="AE5" s="76" t="str">
        <f aca="false">MID(v_tin,7,1)</f>
        <v>2</v>
      </c>
      <c r="AF5" s="62"/>
      <c r="AG5" s="60"/>
      <c r="AH5" s="76" t="str">
        <f aca="false">MID(v_tin,8,1)</f>
        <v>2</v>
      </c>
      <c r="AI5" s="60"/>
      <c r="AJ5" s="62"/>
      <c r="AK5" s="60"/>
      <c r="AL5" s="60"/>
      <c r="AM5" s="76" t="str">
        <f aca="false">MID(v_tin,9,1)</f>
        <v>3</v>
      </c>
      <c r="AN5" s="62"/>
      <c r="AO5" s="29"/>
      <c r="AP5" s="88" t="str">
        <f aca="false">MID(v_tin,10,1)</f>
        <v>3</v>
      </c>
      <c r="AQ5" s="29"/>
      <c r="AR5" s="40"/>
      <c r="AS5" s="29"/>
      <c r="AT5" s="88" t="str">
        <f aca="false">MID(v_tin,11,1)</f>
        <v>3</v>
      </c>
      <c r="AU5" s="29"/>
      <c r="AV5" s="40"/>
      <c r="AW5" s="29"/>
      <c r="AX5" s="88" t="str">
        <f aca="false">MID(v_tin,12,1)</f>
        <v>3</v>
      </c>
      <c r="AY5" s="29"/>
      <c r="AZ5" s="40"/>
    </row>
    <row r="6" customFormat="false" ht="29.25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</row>
    <row r="7" customFormat="false" ht="15.75" hidden="false" customHeight="true" outlineLevel="0" collapsed="false">
      <c r="A7" s="31"/>
      <c r="B7" s="73" t="s">
        <v>1468</v>
      </c>
      <c r="C7" s="32"/>
      <c r="D7" s="73" t="s">
        <v>1469</v>
      </c>
      <c r="Y7" s="32"/>
      <c r="AC7" s="73" t="s">
        <v>214</v>
      </c>
      <c r="AI7" s="73" t="s">
        <v>1251</v>
      </c>
      <c r="AN7" s="32"/>
      <c r="AT7" s="73" t="s">
        <v>1470</v>
      </c>
      <c r="BB7" s="32"/>
    </row>
    <row r="8" customFormat="false" ht="3" hidden="false" customHeight="true" outlineLevel="0" collapsed="false">
      <c r="A8" s="43"/>
      <c r="B8" s="29"/>
      <c r="C8" s="40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40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40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40"/>
    </row>
    <row r="9" customFormat="false" ht="16.5" hidden="false" customHeight="true" outlineLevel="0" collapsed="false">
      <c r="A9" s="31"/>
      <c r="C9" s="99" t="s">
        <v>1264</v>
      </c>
      <c r="D9" s="73" t="s">
        <v>1471</v>
      </c>
      <c r="Y9" s="32"/>
      <c r="AD9" s="112" t="n">
        <f aca="false">v_lb_r1</f>
        <v>200000</v>
      </c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31"/>
      <c r="AY9" s="113" t="str">
        <f aca="false">v_lb_c1</f>
        <v/>
      </c>
      <c r="BB9" s="32"/>
    </row>
    <row r="10" customFormat="false" ht="3" hidden="false" customHeight="true" outlineLevel="0" collapsed="false">
      <c r="A10" s="43"/>
      <c r="B10" s="29"/>
      <c r="C10" s="40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40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40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40"/>
    </row>
    <row r="11" customFormat="false" ht="16.5" hidden="false" customHeight="true" outlineLevel="0" collapsed="false">
      <c r="A11" s="31"/>
      <c r="C11" s="99" t="s">
        <v>1265</v>
      </c>
      <c r="D11" s="73" t="s">
        <v>1472</v>
      </c>
      <c r="Y11" s="32"/>
      <c r="AD11" s="112" t="n">
        <f aca="false">v_lb_r2</f>
        <v>0</v>
      </c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31"/>
      <c r="AY11" s="113" t="str">
        <f aca="false">v_lb_c2</f>
        <v>Family House</v>
      </c>
      <c r="BB11" s="32"/>
    </row>
    <row r="12" customFormat="false" ht="3" hidden="false" customHeight="true" outlineLevel="0" collapsed="false">
      <c r="A12" s="43"/>
      <c r="B12" s="29"/>
      <c r="C12" s="40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40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40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40"/>
    </row>
    <row r="13" customFormat="false" ht="15.75" hidden="false" customHeight="true" outlineLevel="0" collapsed="false">
      <c r="A13" s="31"/>
      <c r="C13" s="99" t="s">
        <v>1266</v>
      </c>
      <c r="D13" s="73" t="s">
        <v>1473</v>
      </c>
      <c r="Y13" s="32"/>
      <c r="Z13" s="114"/>
      <c r="AA13" s="114"/>
      <c r="AB13" s="114"/>
      <c r="AC13" s="114"/>
      <c r="AD13" s="115" t="n">
        <f aca="false">v_lb_r3</f>
        <v>0</v>
      </c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31"/>
      <c r="AY13" s="113" t="str">
        <f aca="false">v_lb_c3</f>
        <v/>
      </c>
      <c r="BB13" s="32"/>
    </row>
    <row r="14" customFormat="false" ht="3.75" hidden="false" customHeight="true" outlineLevel="0" collapsed="false">
      <c r="A14" s="43"/>
      <c r="B14" s="29"/>
      <c r="C14" s="40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40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7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40"/>
    </row>
    <row r="15" customFormat="false" ht="15.75" hidden="false" customHeight="true" outlineLevel="0" collapsed="false">
      <c r="A15" s="31"/>
      <c r="C15" s="99" t="s">
        <v>1267</v>
      </c>
      <c r="D15" s="118" t="s">
        <v>1474</v>
      </c>
      <c r="Y15" s="32"/>
      <c r="AD15" s="112" t="n">
        <f aca="false">v_lb_r4</f>
        <v>0</v>
      </c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31"/>
      <c r="AY15" s="113" t="str">
        <f aca="false">v_lb_c4</f>
        <v/>
      </c>
      <c r="BB15" s="32"/>
    </row>
    <row r="16" customFormat="false" ht="3" hidden="false" customHeight="true" outlineLevel="0" collapsed="false">
      <c r="A16" s="43"/>
      <c r="B16" s="29"/>
      <c r="C16" s="4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40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40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40"/>
    </row>
    <row r="17" customFormat="false" ht="16.5" hidden="false" customHeight="true" outlineLevel="0" collapsed="false">
      <c r="A17" s="31"/>
      <c r="C17" s="99" t="s">
        <v>1270</v>
      </c>
      <c r="D17" s="73" t="s">
        <v>1475</v>
      </c>
      <c r="Y17" s="32"/>
      <c r="AD17" s="112" t="n">
        <f aca="false">v_lb_r5</f>
        <v>0</v>
      </c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31"/>
      <c r="AY17" s="113" t="str">
        <f aca="false">v_lb_c5</f>
        <v/>
      </c>
      <c r="BB17" s="32"/>
    </row>
    <row r="18" customFormat="false" ht="3" hidden="false" customHeight="true" outlineLevel="0" collapsed="false">
      <c r="A18" s="43"/>
      <c r="B18" s="29"/>
      <c r="C18" s="40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40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40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40"/>
    </row>
    <row r="19" customFormat="false" ht="16.5" hidden="false" customHeight="true" outlineLevel="0" collapsed="false">
      <c r="A19" s="31"/>
      <c r="C19" s="99" t="s">
        <v>1310</v>
      </c>
      <c r="D19" s="73" t="s">
        <v>1476</v>
      </c>
      <c r="Y19" s="32"/>
      <c r="AD19" s="112" t="n">
        <f aca="false">v_lb_r6</f>
        <v>0</v>
      </c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31"/>
      <c r="AY19" s="113" t="str">
        <f aca="false">v_lb_c6</f>
        <v/>
      </c>
      <c r="BB19" s="32"/>
    </row>
    <row r="20" customFormat="false" ht="3" hidden="false" customHeight="true" outlineLevel="0" collapsed="false">
      <c r="A20" s="43"/>
      <c r="B20" s="29"/>
      <c r="C20" s="40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40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40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40"/>
    </row>
    <row r="21" customFormat="false" ht="15.75" hidden="false" customHeight="true" outlineLevel="0" collapsed="false">
      <c r="A21" s="31"/>
      <c r="C21" s="99" t="s">
        <v>1273</v>
      </c>
      <c r="D21" s="73" t="s">
        <v>1477</v>
      </c>
      <c r="Y21" s="32"/>
      <c r="AD21" s="112" t="n">
        <f aca="false">v_lb_r7</f>
        <v>0</v>
      </c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31"/>
      <c r="AY21" s="113" t="str">
        <f aca="false">v_lb_c7</f>
        <v/>
      </c>
      <c r="BB21" s="32"/>
    </row>
    <row r="22" customFormat="false" ht="3.75" hidden="false" customHeight="true" outlineLevel="0" collapsed="false">
      <c r="A22" s="43"/>
      <c r="B22" s="29"/>
      <c r="C22" s="40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40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40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40"/>
    </row>
    <row r="23" customFormat="false" ht="14.25" hidden="false" customHeight="true" outlineLevel="0" collapsed="false">
      <c r="A23" s="31"/>
      <c r="C23" s="99" t="s">
        <v>1280</v>
      </c>
      <c r="D23" s="119" t="s">
        <v>1478</v>
      </c>
      <c r="Y23" s="32"/>
      <c r="AD23" s="120" t="n">
        <f aca="false">v_lb_r8</f>
        <v>36206</v>
      </c>
      <c r="AE23" s="120"/>
      <c r="AF23" s="120"/>
      <c r="AG23" s="120"/>
      <c r="AH23" s="120"/>
      <c r="AI23" s="120"/>
      <c r="AJ23" s="120"/>
      <c r="AK23" s="120"/>
      <c r="AL23" s="120"/>
      <c r="AM23" s="120"/>
      <c r="AN23" s="120"/>
      <c r="AO23" s="121" t="str">
        <f aca="false">v_lb_c8</f>
        <v/>
      </c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</row>
    <row r="24" customFormat="false" ht="6.75" hidden="false" customHeight="true" outlineLevel="0" collapsed="false">
      <c r="A24" s="31"/>
      <c r="C24" s="99"/>
      <c r="D24" s="122" t="s">
        <v>1479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Y24" s="32"/>
      <c r="AD24" s="120"/>
      <c r="AE24" s="120"/>
      <c r="AF24" s="120"/>
      <c r="AG24" s="120"/>
      <c r="AH24" s="120"/>
      <c r="AI24" s="120"/>
      <c r="AJ24" s="120"/>
      <c r="AK24" s="120"/>
      <c r="AL24" s="120"/>
      <c r="AM24" s="120"/>
      <c r="AN24" s="120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</row>
    <row r="25" customFormat="false" ht="6" hidden="false" customHeight="true" outlineLevel="0" collapsed="false">
      <c r="A25" s="31"/>
      <c r="C25" s="3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Y25" s="32"/>
      <c r="AN25" s="32"/>
      <c r="BB25" s="32"/>
    </row>
    <row r="26" customFormat="false" ht="1.5" hidden="false" customHeight="true" outlineLevel="0" collapsed="false">
      <c r="A26" s="43"/>
      <c r="B26" s="29"/>
      <c r="C26" s="4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40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40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40"/>
    </row>
    <row r="27" customFormat="false" ht="16.5" hidden="false" customHeight="true" outlineLevel="0" collapsed="false">
      <c r="A27" s="31"/>
      <c r="C27" s="99" t="s">
        <v>1282</v>
      </c>
      <c r="D27" s="104" t="s">
        <v>1480</v>
      </c>
      <c r="Y27" s="32"/>
      <c r="AD27" s="120" t="n">
        <f aca="false">v_lb_r9</f>
        <v>0</v>
      </c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1" t="str">
        <f aca="false">v_lb_c9</f>
        <v/>
      </c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</row>
    <row r="28" customFormat="false" ht="6.75" hidden="false" customHeight="true" outlineLevel="0" collapsed="false">
      <c r="A28" s="31"/>
      <c r="C28" s="99"/>
      <c r="D28" s="78" t="s">
        <v>1481</v>
      </c>
      <c r="Y28" s="32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</row>
    <row r="29" customFormat="false" ht="6.75" hidden="false" customHeight="true" outlineLevel="0" collapsed="false">
      <c r="A29" s="31"/>
      <c r="C29" s="32"/>
      <c r="D29" s="78"/>
      <c r="Y29" s="32"/>
      <c r="AN29" s="32"/>
      <c r="BB29" s="32"/>
    </row>
    <row r="30" customFormat="false" ht="3" hidden="false" customHeight="true" outlineLevel="0" collapsed="false">
      <c r="A30" s="43"/>
      <c r="B30" s="29"/>
      <c r="C30" s="40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40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40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40"/>
    </row>
    <row r="31" customFormat="false" ht="14.25" hidden="false" customHeight="true" outlineLevel="0" collapsed="false">
      <c r="A31" s="43"/>
      <c r="B31" s="29"/>
      <c r="C31" s="29"/>
      <c r="D31" s="29"/>
      <c r="E31" s="29"/>
      <c r="F31" s="107" t="s">
        <v>1383</v>
      </c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40"/>
      <c r="Z31" s="29"/>
      <c r="AA31" s="29"/>
      <c r="AB31" s="29"/>
      <c r="AC31" s="29"/>
      <c r="AD31" s="112" t="n">
        <f aca="false">v_lb_total</f>
        <v>236206</v>
      </c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43"/>
      <c r="AP31" s="29"/>
      <c r="AQ31" s="29"/>
      <c r="AR31" s="29"/>
      <c r="AS31" s="29"/>
      <c r="AT31" s="29"/>
      <c r="AU31" s="29"/>
      <c r="AV31" s="96" t="n">
        <f aca="false">v_lb_total2</f>
        <v>236206</v>
      </c>
      <c r="AW31" s="96"/>
      <c r="AX31" s="96"/>
      <c r="AY31" s="96"/>
      <c r="AZ31" s="96"/>
      <c r="BA31" s="96"/>
      <c r="BB31" s="96"/>
      <c r="BC31" s="31"/>
    </row>
    <row r="32" customFormat="false" ht="71.25" hidden="false" customHeight="true" outlineLevel="0" collapsed="false">
      <c r="K32" s="123" t="s">
        <v>1358</v>
      </c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V32" s="83"/>
      <c r="AW32" s="83"/>
      <c r="AX32" s="83"/>
      <c r="AY32" s="83"/>
      <c r="AZ32" s="83"/>
      <c r="BA32" s="83"/>
      <c r="BB32" s="83"/>
    </row>
    <row r="33" customFormat="false" ht="36" hidden="false" customHeight="true" outlineLevel="0" collapsed="false">
      <c r="D33" s="124" t="s">
        <v>1482</v>
      </c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</row>
    <row r="34" customFormat="false" ht="14.25" hidden="false" customHeight="true" outlineLevel="0" collapsed="false">
      <c r="D34" s="73" t="s">
        <v>1483</v>
      </c>
    </row>
    <row r="35" customFormat="false" ht="59.25" hidden="false" customHeight="true" outlineLevel="0" collapsed="false">
      <c r="AQ35" s="113" t="str">
        <f aca="false">v_name</f>
        <v>Sample Taxpayer</v>
      </c>
    </row>
    <row r="36" customFormat="false" ht="14.25" hidden="false" customHeight="true" outlineLevel="0" collapsed="false">
      <c r="AJ36" s="73" t="s">
        <v>1484</v>
      </c>
    </row>
    <row r="37" customFormat="false" ht="15" hidden="false" customHeight="true" outlineLevel="0" collapsed="false">
      <c r="AQ37" s="125" t="str">
        <f aca="false">v_date</f>
        <v>20/10/2026</v>
      </c>
    </row>
    <row r="38" customFormat="false" ht="2.25" hidden="false" customHeight="true" outlineLevel="0" collapsed="false"/>
  </sheetData>
  <sheetProtection sheet="true"/>
  <mergeCells count="19">
    <mergeCell ref="E4:AN4"/>
    <mergeCell ref="AD9:AN9"/>
    <mergeCell ref="AD11:AN11"/>
    <mergeCell ref="AD13:AN13"/>
    <mergeCell ref="AD15:AN15"/>
    <mergeCell ref="AD17:AN17"/>
    <mergeCell ref="AD19:AN19"/>
    <mergeCell ref="AD21:AN21"/>
    <mergeCell ref="C23:C24"/>
    <mergeCell ref="AD23:AN24"/>
    <mergeCell ref="AO23:BC24"/>
    <mergeCell ref="D24:Q25"/>
    <mergeCell ref="C27:C28"/>
    <mergeCell ref="AD27:AN28"/>
    <mergeCell ref="AO27:BC28"/>
    <mergeCell ref="D28:D29"/>
    <mergeCell ref="AD31:AN31"/>
    <mergeCell ref="AV31:BB31"/>
    <mergeCell ref="D33:BA33"/>
  </mergeCells>
  <printOptions headings="false" gridLines="false" gridLinesSet="true" horizontalCentered="false" verticalCentered="false"/>
  <pageMargins left="0.463194444444444" right="0.111111111111111" top="0.963194444444445" bottom="2.89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1"/>
    <col collapsed="false" customWidth="true" hidden="false" outlineLevel="0" max="2" min="2" style="0" width="2.63"/>
    <col collapsed="false" customWidth="true" hidden="false" outlineLevel="0" max="3" min="3" style="0" width="3.12"/>
    <col collapsed="false" customWidth="true" hidden="false" outlineLevel="0" max="4" min="4" style="0" width="2.38"/>
    <col collapsed="false" customWidth="true" hidden="false" outlineLevel="0" max="5" min="5" style="0" width="5.5"/>
    <col collapsed="false" customWidth="true" hidden="false" outlineLevel="0" max="6" min="6" style="0" width="3.12"/>
    <col collapsed="false" customWidth="true" hidden="false" outlineLevel="0" max="7" min="7" style="0" width="3.25"/>
    <col collapsed="false" customWidth="true" hidden="false" outlineLevel="0" max="8" min="8" style="0" width="2"/>
    <col collapsed="false" customWidth="true" hidden="false" outlineLevel="0" max="9" min="9" style="0" width="2.5"/>
    <col collapsed="false" customWidth="true" hidden="false" outlineLevel="0" max="11" min="10" style="0" width="2.63"/>
    <col collapsed="false" customWidth="true" hidden="false" outlineLevel="0" max="12" min="12" style="0" width="0.75"/>
    <col collapsed="false" customWidth="true" hidden="false" outlineLevel="0" max="13" min="13" style="0" width="0.25"/>
    <col collapsed="false" customWidth="true" hidden="false" outlineLevel="0" max="14" min="14" style="0" width="0.37"/>
    <col collapsed="false" customWidth="true" hidden="false" outlineLevel="0" max="15" min="15" style="0" width="0.62"/>
    <col collapsed="false" customWidth="true" hidden="false" outlineLevel="0" max="16" min="16" style="0" width="2.88"/>
    <col collapsed="false" customWidth="true" hidden="false" outlineLevel="0" max="17" min="17" style="0" width="1"/>
    <col collapsed="false" customWidth="true" hidden="false" outlineLevel="0" max="18" min="18" style="0" width="3"/>
    <col collapsed="false" customWidth="true" hidden="false" outlineLevel="0" max="19" min="19" style="0" width="1.75"/>
    <col collapsed="false" customWidth="true" hidden="false" outlineLevel="0" max="20" min="20" style="0" width="0.25"/>
    <col collapsed="false" customWidth="true" hidden="false" outlineLevel="0" max="21" min="21" style="0" width="1.5"/>
    <col collapsed="false" customWidth="true" hidden="false" outlineLevel="0" max="22" min="22" style="0" width="0.25"/>
    <col collapsed="false" customWidth="true" hidden="false" outlineLevel="0" max="23" min="23" style="0" width="1.88"/>
    <col collapsed="false" customWidth="true" hidden="false" outlineLevel="0" max="24" min="24" style="0" width="0.37"/>
    <col collapsed="false" customWidth="true" hidden="false" outlineLevel="0" max="25" min="25" style="0" width="1.75"/>
    <col collapsed="false" customWidth="true" hidden="false" outlineLevel="0" max="26" min="26" style="0" width="2.13"/>
    <col collapsed="false" customWidth="true" hidden="false" outlineLevel="0" max="27" min="27" style="0" width="0.37"/>
    <col collapsed="false" customWidth="true" hidden="false" outlineLevel="0" max="28" min="28" style="0" width="2"/>
    <col collapsed="false" customWidth="true" hidden="false" outlineLevel="0" max="29" min="29" style="0" width="1.37"/>
    <col collapsed="false" customWidth="true" hidden="false" outlineLevel="0" max="30" min="30" style="0" width="0.25"/>
    <col collapsed="false" customWidth="true" hidden="false" outlineLevel="0" max="31" min="31" style="0" width="1.37"/>
    <col collapsed="false" customWidth="true" hidden="false" outlineLevel="0" max="32" min="32" style="0" width="1.63"/>
    <col collapsed="false" customWidth="true" hidden="false" outlineLevel="0" max="34" min="33" style="0" width="0.37"/>
    <col collapsed="false" customWidth="true" hidden="false" outlineLevel="0" max="35" min="35" style="0" width="1.25"/>
    <col collapsed="false" customWidth="true" hidden="false" outlineLevel="0" max="36" min="36" style="0" width="1.63"/>
    <col collapsed="false" customWidth="true" hidden="false" outlineLevel="0" max="38" min="37" style="0" width="0.37"/>
    <col collapsed="false" customWidth="true" hidden="false" outlineLevel="0" max="39" min="39" style="0" width="1.25"/>
    <col collapsed="false" customWidth="true" hidden="false" outlineLevel="0" max="40" min="40" style="0" width="1.5"/>
    <col collapsed="false" customWidth="true" hidden="false" outlineLevel="0" max="41" min="41" style="0" width="0.37"/>
    <col collapsed="false" customWidth="true" hidden="false" outlineLevel="0" max="42" min="42" style="0" width="1.5"/>
    <col collapsed="false" customWidth="true" hidden="false" outlineLevel="0" max="43" min="43" style="0" width="0.37"/>
    <col collapsed="false" customWidth="true" hidden="false" outlineLevel="0" max="44" min="44" style="0" width="1.37"/>
    <col collapsed="false" customWidth="true" hidden="false" outlineLevel="0" max="45" min="45" style="0" width="0.25"/>
    <col collapsed="false" customWidth="true" hidden="false" outlineLevel="0" max="46" min="46" style="0" width="1.63"/>
    <col collapsed="false" customWidth="true" hidden="false" outlineLevel="0" max="47" min="47" style="0" width="1.75"/>
    <col collapsed="false" customWidth="true" hidden="false" outlineLevel="0" max="48" min="48" style="0" width="0.37"/>
    <col collapsed="false" customWidth="true" hidden="false" outlineLevel="0" max="49" min="49" style="0" width="1.63"/>
    <col collapsed="false" customWidth="true" hidden="false" outlineLevel="0" max="50" min="50" style="0" width="0.75"/>
    <col collapsed="false" customWidth="true" hidden="false" outlineLevel="0" max="51" min="51" style="0" width="1"/>
    <col collapsed="false" customWidth="true" hidden="false" outlineLevel="0" max="52" min="52" style="0" width="0.37"/>
    <col collapsed="false" customWidth="true" hidden="false" outlineLevel="0" max="53" min="53" style="0" width="1.63"/>
    <col collapsed="false" customWidth="true" hidden="false" outlineLevel="0" max="54" min="54" style="0" width="1.25"/>
    <col collapsed="false" customWidth="true" hidden="false" outlineLevel="0" max="55" min="55" style="0" width="0.37"/>
    <col collapsed="false" customWidth="true" hidden="false" outlineLevel="0" max="56" min="56" style="0" width="0.75"/>
    <col collapsed="false" customWidth="true" hidden="false" outlineLevel="0" max="57" min="57" style="0" width="0.37"/>
    <col collapsed="false" customWidth="true" hidden="false" outlineLevel="0" max="58" min="58" style="0" width="1.63"/>
    <col collapsed="false" customWidth="true" hidden="false" outlineLevel="0" max="59" min="59" style="0" width="1"/>
    <col collapsed="false" customWidth="true" hidden="false" outlineLevel="0" max="60" min="60" style="0" width="0.5"/>
    <col collapsed="false" customWidth="true" hidden="false" outlineLevel="0" max="61" min="61" style="0" width="1.5"/>
    <col collapsed="false" customWidth="true" hidden="false" outlineLevel="0" max="62" min="62" style="0" width="0.37"/>
    <col collapsed="false" customWidth="true" hidden="false" outlineLevel="0" max="63" min="63" style="0" width="0.62"/>
    <col collapsed="false" customWidth="true" hidden="false" outlineLevel="0" max="64" min="64" style="0" width="0.25"/>
  </cols>
  <sheetData>
    <row r="1" customFormat="false" ht="16.5" hidden="false" customHeight="true" outlineLevel="0" collapsed="false">
      <c r="M1" s="72" t="s">
        <v>1241</v>
      </c>
    </row>
    <row r="2" customFormat="false" ht="15" hidden="false" customHeight="true" outlineLevel="0" collapsed="false">
      <c r="Q2" s="123" t="s">
        <v>1259</v>
      </c>
    </row>
    <row r="3" customFormat="false" ht="15" hidden="false" customHeight="true" outlineLevel="0" collapsed="false">
      <c r="AS3" s="72" t="s">
        <v>1485</v>
      </c>
    </row>
    <row r="4" customFormat="false" ht="15" hidden="false" customHeight="true" outlineLevel="0" collapsed="false">
      <c r="I4" s="126" t="s">
        <v>1486</v>
      </c>
    </row>
    <row r="5" customFormat="false" ht="15" hidden="false" customHeight="true" outlineLevel="0" collapsed="false">
      <c r="O5" s="110" t="s">
        <v>1487</v>
      </c>
      <c r="S5" s="127" t="str">
        <f aca="false">v_iy_end_dmy</f>
        <v>30-Jun-26</v>
      </c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</row>
    <row r="6" customFormat="false" ht="15" hidden="false" customHeight="true" outlineLevel="0" collapsed="false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</row>
    <row r="7" customFormat="false" ht="15" hidden="false" customHeight="true" outlineLevel="0" collapsed="false">
      <c r="A7" s="31"/>
      <c r="N7" s="72" t="s">
        <v>1488</v>
      </c>
      <c r="BK7" s="32"/>
    </row>
    <row r="8" customFormat="false" ht="17.25" hidden="false" customHeight="true" outlineLevel="0" collapsed="false">
      <c r="A8" s="31"/>
      <c r="B8" s="73" t="s">
        <v>1264</v>
      </c>
      <c r="C8" s="73" t="s">
        <v>1489</v>
      </c>
      <c r="BK8" s="32"/>
    </row>
    <row r="9" customFormat="false" ht="17.25" hidden="false" customHeight="true" outlineLevel="0" collapsed="false">
      <c r="A9" s="31"/>
      <c r="B9" s="73" t="s">
        <v>1265</v>
      </c>
      <c r="C9" s="73" t="s">
        <v>1490</v>
      </c>
      <c r="BK9" s="32"/>
    </row>
    <row r="10" customFormat="false" ht="18.75" hidden="false" customHeight="true" outlineLevel="0" collapsed="false">
      <c r="A10" s="31"/>
      <c r="B10" s="73" t="s">
        <v>1266</v>
      </c>
      <c r="C10" s="124" t="s">
        <v>1491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32"/>
    </row>
    <row r="11" customFormat="false" ht="15.75" hidden="false" customHeight="true" outlineLevel="0" collapsed="false">
      <c r="A11" s="31"/>
      <c r="C11" s="124" t="s">
        <v>1492</v>
      </c>
      <c r="D11" s="124"/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K11" s="32"/>
    </row>
    <row r="12" customFormat="false" ht="14.25" hidden="false" customHeight="true" outlineLevel="0" collapsed="false">
      <c r="A12" s="31"/>
      <c r="C12" s="73" t="s">
        <v>1493</v>
      </c>
      <c r="BK12" s="32"/>
    </row>
    <row r="13" customFormat="false" ht="21" hidden="false" customHeight="true" outlineLevel="0" collapsed="false">
      <c r="A13" s="31"/>
      <c r="B13" s="73" t="s">
        <v>1267</v>
      </c>
      <c r="C13" s="73" t="s">
        <v>1494</v>
      </c>
      <c r="E13" s="73" t="s">
        <v>1495</v>
      </c>
      <c r="G13" s="73" t="s">
        <v>1496</v>
      </c>
      <c r="J13" s="73" t="s">
        <v>1497</v>
      </c>
      <c r="L13" s="73" t="s">
        <v>1498</v>
      </c>
      <c r="P13" s="73" t="s">
        <v>1499</v>
      </c>
      <c r="V13" s="73" t="s">
        <v>1500</v>
      </c>
      <c r="AE13" s="73" t="s">
        <v>1501</v>
      </c>
      <c r="AI13" s="73" t="s">
        <v>1495</v>
      </c>
      <c r="AR13" s="73" t="s">
        <v>1496</v>
      </c>
      <c r="AY13" s="73" t="s">
        <v>1497</v>
      </c>
      <c r="BE13" s="73" t="s">
        <v>1498</v>
      </c>
      <c r="BG13" s="73" t="s">
        <v>1502</v>
      </c>
      <c r="BK13" s="32"/>
    </row>
    <row r="14" customFormat="false" ht="15" hidden="false" customHeight="true" outlineLevel="0" collapsed="false">
      <c r="A14" s="31"/>
      <c r="C14" s="73" t="s">
        <v>1503</v>
      </c>
      <c r="BK14" s="32"/>
    </row>
    <row r="15" customFormat="false" ht="3.75" hidden="false" customHeight="true" outlineLevel="0" collapsed="false">
      <c r="A15" s="43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40"/>
    </row>
    <row r="16" customFormat="false" ht="31.5" hidden="false" customHeight="true" outlineLevel="0" collapsed="false">
      <c r="A16" s="72" t="s">
        <v>1245</v>
      </c>
      <c r="H16" s="74" t="str">
        <f aca="false">v_name</f>
        <v>Sample Taxpayer</v>
      </c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29"/>
      <c r="BH16" s="29"/>
      <c r="BI16" s="29"/>
      <c r="BJ16" s="29"/>
      <c r="BK16" s="29"/>
    </row>
    <row r="17" customFormat="false" ht="14.25" hidden="false" customHeight="true" outlineLevel="0" collapsed="false">
      <c r="O17" s="72" t="s">
        <v>1247</v>
      </c>
      <c r="R17" s="32"/>
      <c r="S17" s="60"/>
      <c r="T17" s="76" t="str">
        <f aca="false">MID(v_tin,1,1)</f>
        <v>1</v>
      </c>
      <c r="U17" s="60"/>
      <c r="V17" s="62"/>
      <c r="W17" s="60"/>
      <c r="X17" s="76" t="str">
        <f aca="false">MID(v_tin,2,1)</f>
        <v>1</v>
      </c>
      <c r="Y17" s="62"/>
      <c r="Z17" s="60"/>
      <c r="AA17" s="76" t="str">
        <f aca="false">MID(v_tin,3,1)</f>
        <v>1</v>
      </c>
      <c r="AB17" s="62"/>
      <c r="AC17" s="60"/>
      <c r="AD17" s="76" t="str">
        <f aca="false">MID(v_tin,4,1)</f>
        <v>1</v>
      </c>
      <c r="AE17" s="62"/>
      <c r="AF17" s="60"/>
      <c r="AG17" s="76" t="str">
        <f aca="false">MID(v_tin,5,1)</f>
        <v>2</v>
      </c>
      <c r="AH17" s="60"/>
      <c r="AI17" s="62"/>
      <c r="AJ17" s="60"/>
      <c r="AK17" s="76" t="str">
        <f aca="false">MID(v_tin,6,1)</f>
        <v>2</v>
      </c>
      <c r="AL17" s="60"/>
      <c r="AM17" s="62"/>
      <c r="AN17" s="60"/>
      <c r="AO17" s="76" t="str">
        <f aca="false">MID(v_tin,7,1)</f>
        <v>2</v>
      </c>
      <c r="AP17" s="62"/>
      <c r="AQ17" s="60"/>
      <c r="AR17" s="60"/>
      <c r="AS17" s="76" t="str">
        <f aca="false">MID(v_tin,8,1)</f>
        <v>2</v>
      </c>
      <c r="AT17" s="62"/>
      <c r="AU17" s="60"/>
      <c r="AV17" s="76" t="str">
        <f aca="false">MID(v_tin,9,1)</f>
        <v>3</v>
      </c>
      <c r="AW17" s="62"/>
      <c r="AX17" s="60"/>
      <c r="AY17" s="60"/>
      <c r="AZ17" s="76" t="str">
        <f aca="false">MID(v_tin,10,1)</f>
        <v>3</v>
      </c>
      <c r="BA17" s="62"/>
      <c r="BB17" s="60"/>
      <c r="BC17" s="76" t="str">
        <f aca="false">MID(v_tin,11,1)</f>
        <v>3</v>
      </c>
      <c r="BD17" s="60"/>
      <c r="BE17" s="62"/>
      <c r="BF17" s="60"/>
      <c r="BG17" s="29"/>
      <c r="BH17" s="88" t="str">
        <f aca="false">MID(v_tin,12,1)</f>
        <v>3</v>
      </c>
      <c r="BI17" s="29"/>
      <c r="BJ17" s="29"/>
      <c r="BK17" s="40"/>
    </row>
    <row r="18" customFormat="false" ht="24.75" hidden="false" customHeight="true" outlineLevel="0" collapsed="false">
      <c r="B18" s="110" t="s">
        <v>1264</v>
      </c>
      <c r="C18" s="110" t="s">
        <v>1504</v>
      </c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</row>
    <row r="19" customFormat="false" ht="15.75" hidden="false" customHeight="true" outlineLevel="0" collapsed="false">
      <c r="C19" s="73" t="s">
        <v>1408</v>
      </c>
      <c r="D19" s="73" t="s">
        <v>1505</v>
      </c>
      <c r="AI19" s="32"/>
      <c r="AM19" s="96" t="n">
        <f aca="false">v_w_1a</f>
        <v>812058</v>
      </c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31"/>
    </row>
    <row r="20" customFormat="false" ht="3" hidden="false" customHeight="true" outlineLevel="0" collapsed="false">
      <c r="AI20" s="32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40"/>
    </row>
    <row r="21" customFormat="false" ht="15.75" hidden="false" customHeight="true" outlineLevel="0" collapsed="false">
      <c r="C21" s="73" t="s">
        <v>1410</v>
      </c>
      <c r="D21" s="73" t="s">
        <v>1506</v>
      </c>
      <c r="AF21" s="73" t="s">
        <v>1251</v>
      </c>
      <c r="AI21" s="32"/>
      <c r="AM21" s="96" t="n">
        <f aca="false">v_w_1b</f>
        <v>5308</v>
      </c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31"/>
    </row>
    <row r="22" customFormat="false" ht="3" hidden="false" customHeight="true" outlineLevel="0" collapsed="false">
      <c r="AI22" s="32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40"/>
    </row>
    <row r="23" customFormat="false" ht="15.75" hidden="false" customHeight="true" outlineLevel="0" collapsed="false">
      <c r="C23" s="73" t="s">
        <v>1412</v>
      </c>
      <c r="D23" s="73" t="s">
        <v>1507</v>
      </c>
      <c r="K23" s="74" t="str">
        <f aca="false">v_w_gift_label</f>
        <v>(First Return)</v>
      </c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3" t="s">
        <v>1251</v>
      </c>
      <c r="AI23" s="32"/>
      <c r="AM23" s="96" t="n">
        <f aca="false">v_w_1c</f>
        <v>14882682</v>
      </c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31"/>
    </row>
    <row r="24" customFormat="false" ht="3.75" hidden="false" customHeight="true" outlineLevel="0" collapsed="false">
      <c r="AI24" s="32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40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</row>
    <row r="25" customFormat="false" ht="18.75" hidden="false" customHeight="true" outlineLevel="0" collapsed="false">
      <c r="W25" s="110" t="s">
        <v>1508</v>
      </c>
      <c r="AQ25" s="73" t="s">
        <v>1251</v>
      </c>
      <c r="AT25" s="32"/>
      <c r="AU25" s="29"/>
      <c r="AV25" s="29"/>
      <c r="AW25" s="29"/>
      <c r="AX25" s="95" t="n">
        <f aca="false">v_w_src</f>
        <v>15700048</v>
      </c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31"/>
    </row>
    <row r="26" customFormat="false" ht="18.75" hidden="false" customHeight="true" outlineLevel="0" collapsed="false">
      <c r="B26" s="110" t="s">
        <v>1265</v>
      </c>
      <c r="C26" s="110" t="s">
        <v>1509</v>
      </c>
      <c r="AQ26" s="73" t="s">
        <v>1251</v>
      </c>
      <c r="AT26" s="32"/>
      <c r="AU26" s="29"/>
      <c r="AV26" s="29"/>
      <c r="AW26" s="29"/>
      <c r="AX26" s="95" t="str">
        <f aca="false">IF(N(v_w_2)=0,"",v_w_2)</f>
        <v/>
      </c>
      <c r="AY26" s="95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31"/>
    </row>
    <row r="27" customFormat="false" ht="19.5" hidden="false" customHeight="true" outlineLevel="0" collapsed="false">
      <c r="B27" s="110" t="s">
        <v>1266</v>
      </c>
      <c r="C27" s="118" t="s">
        <v>1510</v>
      </c>
      <c r="AJ27" s="29"/>
      <c r="AK27" s="29"/>
      <c r="AL27" s="29"/>
      <c r="AM27" s="29"/>
      <c r="AN27" s="29"/>
      <c r="AO27" s="29"/>
      <c r="AP27" s="29"/>
      <c r="AQ27" s="79" t="s">
        <v>1251</v>
      </c>
      <c r="AR27" s="29"/>
      <c r="AS27" s="29"/>
      <c r="AT27" s="40"/>
      <c r="AU27" s="29"/>
      <c r="AV27" s="29"/>
      <c r="AW27" s="29"/>
      <c r="AX27" s="96" t="n">
        <f aca="false">v_w_3</f>
        <v>15700048</v>
      </c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31"/>
    </row>
    <row r="28" customFormat="false" ht="18.75" hidden="false" customHeight="true" outlineLevel="0" collapsed="false">
      <c r="B28" s="110" t="s">
        <v>1267</v>
      </c>
      <c r="C28" s="73" t="s">
        <v>1408</v>
      </c>
      <c r="D28" s="73" t="s">
        <v>1511</v>
      </c>
      <c r="AF28" s="73" t="s">
        <v>1251</v>
      </c>
      <c r="AI28" s="32"/>
      <c r="AJ28" s="29"/>
      <c r="AK28" s="29"/>
      <c r="AL28" s="29"/>
      <c r="AM28" s="95" t="n">
        <f aca="false">v_w_4a</f>
        <v>236206</v>
      </c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128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</row>
    <row r="29" customFormat="false" ht="15.75" hidden="false" customHeight="true" outlineLevel="0" collapsed="false">
      <c r="C29" s="73" t="s">
        <v>1410</v>
      </c>
      <c r="D29" s="73" t="s">
        <v>1512</v>
      </c>
      <c r="AF29" s="73" t="s">
        <v>1251</v>
      </c>
      <c r="AI29" s="32"/>
      <c r="AM29" s="129" t="n">
        <f aca="false">v_w_4b</f>
        <v>0</v>
      </c>
      <c r="AN29" s="129"/>
      <c r="AO29" s="129"/>
      <c r="AP29" s="129"/>
      <c r="AQ29" s="129"/>
      <c r="AR29" s="129"/>
      <c r="AS29" s="129"/>
      <c r="AT29" s="129"/>
      <c r="AU29" s="129"/>
      <c r="AV29" s="129"/>
      <c r="AW29" s="129"/>
      <c r="AX29" s="31"/>
    </row>
    <row r="30" customFormat="false" ht="3.75" hidden="false" customHeight="true" outlineLevel="0" collapsed="false">
      <c r="AI30" s="32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40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</row>
    <row r="31" customFormat="false" ht="18.75" hidden="false" customHeight="true" outlineLevel="0" collapsed="false">
      <c r="W31" s="110" t="s">
        <v>1513</v>
      </c>
      <c r="AQ31" s="73" t="s">
        <v>1251</v>
      </c>
      <c r="AT31" s="32"/>
      <c r="AU31" s="29"/>
      <c r="AV31" s="29"/>
      <c r="AW31" s="29"/>
      <c r="AX31" s="95" t="n">
        <f aca="false">v_w_exp</f>
        <v>236206</v>
      </c>
      <c r="AY31" s="95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31"/>
    </row>
    <row r="32" customFormat="false" ht="18.75" hidden="false" customHeight="true" outlineLevel="0" collapsed="false">
      <c r="B32" s="110" t="s">
        <v>1270</v>
      </c>
      <c r="C32" s="110" t="s">
        <v>1514</v>
      </c>
      <c r="U32" s="73" t="s">
        <v>1515</v>
      </c>
      <c r="AT32" s="32"/>
      <c r="AU32" s="29"/>
      <c r="AV32" s="29"/>
      <c r="AW32" s="29"/>
      <c r="AX32" s="130" t="n">
        <f aca="false">v_w_5</f>
        <v>15463842</v>
      </c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31"/>
    </row>
    <row r="33" customFormat="false" ht="38.25" hidden="false" customHeight="true" outlineLevel="0" collapsed="false">
      <c r="B33" s="110" t="s">
        <v>1310</v>
      </c>
      <c r="C33" s="110" t="s">
        <v>1516</v>
      </c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</row>
    <row r="34" customFormat="false" ht="18.75" hidden="false" customHeight="true" outlineLevel="0" collapsed="false">
      <c r="C34" s="110" t="s">
        <v>1408</v>
      </c>
      <c r="D34" s="110" t="s">
        <v>1069</v>
      </c>
      <c r="Z34" s="73" t="s">
        <v>1251</v>
      </c>
      <c r="AB34" s="32"/>
      <c r="AC34" s="29"/>
      <c r="AD34" s="29"/>
      <c r="AE34" s="95" t="n">
        <f aca="false">v_w_6a</f>
        <v>0</v>
      </c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31"/>
    </row>
    <row r="35" customFormat="false" ht="18.75" hidden="false" customHeight="true" outlineLevel="0" collapsed="false">
      <c r="C35" s="110" t="s">
        <v>1410</v>
      </c>
      <c r="D35" s="110" t="s">
        <v>1071</v>
      </c>
      <c r="Z35" s="73" t="s">
        <v>1251</v>
      </c>
      <c r="AB35" s="32"/>
      <c r="AC35" s="29"/>
      <c r="AD35" s="29"/>
      <c r="AE35" s="95" t="n">
        <f aca="false">v_w_6b</f>
        <v>0</v>
      </c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31"/>
    </row>
    <row r="36" customFormat="false" ht="19.5" hidden="false" customHeight="true" outlineLevel="0" collapsed="false">
      <c r="C36" s="110" t="s">
        <v>1412</v>
      </c>
      <c r="D36" s="110" t="s">
        <v>1517</v>
      </c>
      <c r="Z36" s="73" t="s">
        <v>1251</v>
      </c>
      <c r="AB36" s="32"/>
      <c r="AC36" s="29"/>
      <c r="AD36" s="29"/>
      <c r="AE36" s="96" t="n">
        <f aca="false">v_w_6c</f>
        <v>0</v>
      </c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6"/>
      <c r="AQ36" s="31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</row>
    <row r="37" customFormat="false" ht="18.75" hidden="false" customHeight="true" outlineLevel="0" collapsed="false">
      <c r="R37" s="110" t="s">
        <v>1518</v>
      </c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73" t="s">
        <v>1251</v>
      </c>
      <c r="AT37" s="32"/>
      <c r="AU37" s="29"/>
      <c r="AV37" s="29"/>
      <c r="AW37" s="29"/>
      <c r="AX37" s="131" t="n">
        <f aca="false">v_w_liab</f>
        <v>0</v>
      </c>
      <c r="AY37" s="131"/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31"/>
    </row>
    <row r="38" customFormat="false" ht="14.25" hidden="false" customHeight="true" outlineLevel="0" collapsed="false">
      <c r="AU38" s="29"/>
      <c r="AV38" s="29"/>
      <c r="AW38" s="29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</row>
    <row r="39" customFormat="false" ht="19.5" hidden="false" customHeight="true" outlineLevel="0" collapsed="false">
      <c r="B39" s="110" t="s">
        <v>1273</v>
      </c>
      <c r="C39" s="110" t="s">
        <v>1217</v>
      </c>
      <c r="F39" s="73" t="s">
        <v>1519</v>
      </c>
      <c r="AQ39" s="73" t="s">
        <v>1251</v>
      </c>
      <c r="AT39" s="32"/>
      <c r="AU39" s="29"/>
      <c r="AV39" s="29"/>
      <c r="AW39" s="29"/>
      <c r="AX39" s="130" t="n">
        <f aca="false">v_w_7</f>
        <v>15463842</v>
      </c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31"/>
    </row>
    <row r="40" customFormat="false" ht="30.75" hidden="false" customHeight="true" outlineLevel="0" collapsed="false">
      <c r="A40" s="126" t="s">
        <v>1520</v>
      </c>
      <c r="AX40" s="83"/>
      <c r="AY40" s="83"/>
      <c r="AZ40" s="83"/>
      <c r="BA40" s="83"/>
      <c r="BB40" s="83"/>
      <c r="BC40" s="83"/>
      <c r="BD40" s="83"/>
      <c r="BE40" s="83"/>
      <c r="BF40" s="83"/>
      <c r="BG40" s="83"/>
      <c r="BH40" s="83"/>
      <c r="BI40" s="83"/>
      <c r="BJ40" s="83"/>
      <c r="BK40" s="83"/>
    </row>
    <row r="41" customFormat="false" ht="62.25" hidden="false" customHeight="true" outlineLevel="0" collapsed="false">
      <c r="Q41" s="73" t="s">
        <v>1521</v>
      </c>
    </row>
    <row r="42" customFormat="false" ht="2.25" hidden="false" customHeight="true" outlineLevel="0" collapsed="false"/>
  </sheetData>
  <sheetProtection sheet="true"/>
  <mergeCells count="20">
    <mergeCell ref="S5:AF5"/>
    <mergeCell ref="C10:BJ10"/>
    <mergeCell ref="C11:BI11"/>
    <mergeCell ref="H16:BF16"/>
    <mergeCell ref="AM19:AW19"/>
    <mergeCell ref="AM21:AW21"/>
    <mergeCell ref="K23:AE23"/>
    <mergeCell ref="AM23:AW23"/>
    <mergeCell ref="AX25:BK25"/>
    <mergeCell ref="AX26:BK26"/>
    <mergeCell ref="AX27:BK27"/>
    <mergeCell ref="AM28:AW28"/>
    <mergeCell ref="AM29:AW29"/>
    <mergeCell ref="AX31:BK31"/>
    <mergeCell ref="AX32:BK32"/>
    <mergeCell ref="AE34:AP34"/>
    <mergeCell ref="AE35:AP35"/>
    <mergeCell ref="AE36:AP36"/>
    <mergeCell ref="AX37:BK37"/>
    <mergeCell ref="AX39:BK39"/>
  </mergeCells>
  <printOptions headings="false" gridLines="false" gridLinesSet="true" horizontalCentered="false" verticalCentered="false"/>
  <pageMargins left="0.714583333333333" right="1.50625" top="0.725694444444444" bottom="2.33888888888889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0.62"/>
    <col collapsed="false" customWidth="true" hidden="false" outlineLevel="0" max="2" min="2" style="0" width="2.5"/>
    <col collapsed="false" customWidth="true" hidden="false" outlineLevel="0" max="3" min="3" style="0" width="3.25"/>
    <col collapsed="false" customWidth="true" hidden="false" outlineLevel="0" max="4" min="4" style="0" width="7.25"/>
    <col collapsed="false" customWidth="true" hidden="false" outlineLevel="0" max="5" min="5" style="0" width="14.13"/>
    <col collapsed="false" customWidth="true" hidden="false" outlineLevel="0" max="6" min="6" style="0" width="5.13"/>
    <col collapsed="false" customWidth="true" hidden="false" outlineLevel="0" max="7" min="7" style="0" width="2.75"/>
    <col collapsed="false" customWidth="true" hidden="false" outlineLevel="0" max="8" min="8" style="0" width="0.62"/>
    <col collapsed="false" customWidth="true" hidden="false" outlineLevel="0" max="9" min="9" style="0" width="0.87"/>
    <col collapsed="false" customWidth="true" hidden="false" outlineLevel="0" max="10" min="10" style="0" width="2.13"/>
    <col collapsed="false" customWidth="true" hidden="false" outlineLevel="0" max="11" min="11" style="0" width="3.75"/>
    <col collapsed="false" customWidth="true" hidden="false" outlineLevel="0" max="12" min="12" style="0" width="4"/>
    <col collapsed="false" customWidth="true" hidden="false" outlineLevel="0" max="13" min="13" style="0" width="1.63"/>
    <col collapsed="false" customWidth="true" hidden="false" outlineLevel="0" max="14" min="14" style="0" width="2.75"/>
    <col collapsed="false" customWidth="true" hidden="false" outlineLevel="0" max="15" min="15" style="0" width="1"/>
    <col collapsed="false" customWidth="true" hidden="false" outlineLevel="0" max="16" min="16" style="0" width="0.75"/>
    <col collapsed="false" customWidth="true" hidden="false" outlineLevel="0" max="17" min="17" style="0" width="1.37"/>
    <col collapsed="false" customWidth="true" hidden="false" outlineLevel="0" max="18" min="18" style="0" width="2.25"/>
    <col collapsed="false" customWidth="true" hidden="false" outlineLevel="0" max="19" min="19" style="0" width="1.12"/>
    <col collapsed="false" customWidth="true" hidden="false" outlineLevel="0" max="20" min="20" style="0" width="0.25"/>
    <col collapsed="false" customWidth="true" hidden="false" outlineLevel="0" max="21" min="21" style="0" width="3.25"/>
    <col collapsed="false" customWidth="true" hidden="false" outlineLevel="0" max="22" min="22" style="0" width="3.75"/>
    <col collapsed="false" customWidth="true" hidden="false" outlineLevel="0" max="23" min="23" style="0" width="1"/>
    <col collapsed="false" customWidth="true" hidden="false" outlineLevel="0" max="24" min="24" style="0" width="2.63"/>
    <col collapsed="false" customWidth="true" hidden="false" outlineLevel="0" max="25" min="25" style="0" width="0.5"/>
    <col collapsed="false" customWidth="true" hidden="false" outlineLevel="0" max="26" min="26" style="0" width="0.37"/>
    <col collapsed="false" customWidth="true" hidden="false" outlineLevel="0" max="27" min="27" style="0" width="2.75"/>
    <col collapsed="false" customWidth="true" hidden="false" outlineLevel="0" max="28" min="28" style="0" width="0.25"/>
    <col collapsed="false" customWidth="true" hidden="false" outlineLevel="0" max="29" min="29" style="0" width="11.25"/>
    <col collapsed="false" customWidth="true" hidden="false" outlineLevel="0" max="30" min="30" style="0" width="0.62"/>
    <col collapsed="false" customWidth="true" hidden="false" outlineLevel="0" max="31" min="31" style="0" width="2"/>
  </cols>
  <sheetData>
    <row r="1" customFormat="false" ht="16.5" hidden="false" customHeight="true" outlineLevel="0" collapsed="false">
      <c r="D1" s="110" t="s">
        <v>1522</v>
      </c>
      <c r="E1" s="74" t="str">
        <f aca="false">v_name</f>
        <v>Sample Taxpayer</v>
      </c>
      <c r="F1" s="74"/>
      <c r="G1" s="74"/>
      <c r="H1" s="74"/>
      <c r="I1" s="74"/>
      <c r="J1" s="74"/>
      <c r="K1" s="74"/>
      <c r="L1" s="74"/>
      <c r="M1" s="73" t="s">
        <v>1523</v>
      </c>
      <c r="P1" s="74" t="str">
        <f aca="false">v_tin</f>
        <v>111122223333</v>
      </c>
      <c r="Q1" s="74"/>
      <c r="R1" s="74"/>
      <c r="S1" s="74"/>
      <c r="T1" s="74"/>
      <c r="U1" s="74"/>
      <c r="V1" s="74"/>
      <c r="W1" s="74"/>
      <c r="X1" s="74"/>
      <c r="AA1" s="127" t="str">
        <f aca="false">v_iy_end_mdy</f>
        <v>6/30/2026</v>
      </c>
      <c r="AB1" s="127"/>
      <c r="AC1" s="127"/>
      <c r="AD1" s="127"/>
      <c r="AE1" s="127"/>
    </row>
    <row r="2" customFormat="false" ht="28.5" hidden="false" customHeight="true" outlineLevel="0" collapsed="false">
      <c r="B2" s="110" t="s">
        <v>1280</v>
      </c>
      <c r="C2" s="72" t="s">
        <v>1524</v>
      </c>
    </row>
    <row r="3" customFormat="false" ht="3" hidden="false" customHeight="true" outlineLevel="0" collapsed="false">
      <c r="O3" s="29"/>
      <c r="P3" s="29"/>
      <c r="Q3" s="29"/>
      <c r="R3" s="29"/>
      <c r="S3" s="29"/>
      <c r="T3" s="29"/>
      <c r="U3" s="29"/>
      <c r="V3" s="29"/>
    </row>
    <row r="4" customFormat="false" ht="18" hidden="false" customHeight="true" outlineLevel="0" collapsed="false">
      <c r="A4" s="110" t="s">
        <v>1408</v>
      </c>
      <c r="C4" s="110" t="s">
        <v>1525</v>
      </c>
      <c r="M4" s="73" t="s">
        <v>1251</v>
      </c>
      <c r="N4" s="32"/>
      <c r="Q4" s="131" t="n">
        <f aca="false">v_a_agg</f>
        <v>0</v>
      </c>
      <c r="R4" s="131"/>
      <c r="S4" s="131"/>
      <c r="T4" s="131"/>
      <c r="U4" s="131"/>
      <c r="V4" s="131"/>
      <c r="W4" s="31"/>
    </row>
    <row r="5" customFormat="false" ht="3" hidden="false" customHeight="true" outlineLevel="0" collapsed="false">
      <c r="N5" s="32"/>
      <c r="O5" s="29"/>
      <c r="P5" s="29"/>
      <c r="Q5" s="29"/>
      <c r="R5" s="29"/>
      <c r="S5" s="29"/>
      <c r="T5" s="29"/>
      <c r="U5" s="29"/>
      <c r="V5" s="40"/>
    </row>
    <row r="6" customFormat="false" ht="17.25" hidden="false" customHeight="true" outlineLevel="0" collapsed="false">
      <c r="C6" s="110" t="s">
        <v>1526</v>
      </c>
      <c r="M6" s="73" t="s">
        <v>1251</v>
      </c>
      <c r="N6" s="32"/>
      <c r="O6" s="29"/>
      <c r="P6" s="29"/>
      <c r="Q6" s="131" t="n">
        <f aca="false">v_a_bliab</f>
        <v>0</v>
      </c>
      <c r="R6" s="131"/>
      <c r="S6" s="131"/>
      <c r="T6" s="131"/>
      <c r="U6" s="131"/>
      <c r="V6" s="131"/>
      <c r="W6" s="31"/>
      <c r="Y6" s="29"/>
      <c r="Z6" s="29"/>
      <c r="AA6" s="29"/>
      <c r="AB6" s="29"/>
      <c r="AC6" s="29"/>
      <c r="AD6" s="29"/>
    </row>
    <row r="7" customFormat="false" ht="16.5" hidden="false" customHeight="true" outlineLevel="0" collapsed="false">
      <c r="I7" s="73" t="s">
        <v>1009</v>
      </c>
      <c r="Q7" s="83"/>
      <c r="R7" s="83"/>
      <c r="S7" s="83"/>
      <c r="T7" s="83"/>
      <c r="U7" s="83"/>
      <c r="V7" s="83"/>
      <c r="W7" s="73" t="s">
        <v>1251</v>
      </c>
      <c r="X7" s="32"/>
      <c r="Y7" s="29"/>
      <c r="Z7" s="29"/>
      <c r="AA7" s="29"/>
      <c r="AB7" s="95" t="n">
        <f aca="false">v_a_bcap</f>
        <v>0</v>
      </c>
      <c r="AC7" s="95"/>
      <c r="AD7" s="95"/>
      <c r="AE7" s="31"/>
    </row>
    <row r="8" customFormat="false" ht="17.25" hidden="false" customHeight="true" outlineLevel="0" collapsed="false">
      <c r="A8" s="110" t="s">
        <v>1410</v>
      </c>
      <c r="C8" s="110" t="s">
        <v>258</v>
      </c>
      <c r="W8" s="73" t="s">
        <v>1251</v>
      </c>
      <c r="X8" s="32"/>
      <c r="Y8" s="29"/>
      <c r="Z8" s="29"/>
      <c r="AA8" s="29"/>
      <c r="AB8" s="96" t="n">
        <f aca="false">v_a_dir</f>
        <v>0</v>
      </c>
      <c r="AC8" s="96"/>
      <c r="AD8" s="96"/>
      <c r="AE8" s="31"/>
    </row>
    <row r="9" customFormat="false" ht="17.25" hidden="false" customHeight="true" outlineLevel="0" collapsed="false">
      <c r="D9" s="126" t="s">
        <v>1527</v>
      </c>
      <c r="Y9" s="29"/>
      <c r="Z9" s="29"/>
      <c r="AA9" s="29"/>
      <c r="AB9" s="60"/>
      <c r="AC9" s="60"/>
      <c r="AD9" s="60"/>
    </row>
    <row r="10" customFormat="false" ht="17.25" hidden="false" customHeight="true" outlineLevel="0" collapsed="false">
      <c r="A10" s="110" t="s">
        <v>1412</v>
      </c>
      <c r="C10" s="110" t="s">
        <v>1528</v>
      </c>
      <c r="W10" s="73" t="s">
        <v>1251</v>
      </c>
      <c r="X10" s="32"/>
      <c r="Y10" s="29"/>
      <c r="Z10" s="29"/>
      <c r="AA10" s="29"/>
      <c r="AB10" s="96" t="n">
        <f aca="false">v_a_bcap_other</f>
        <v>0</v>
      </c>
      <c r="AC10" s="96"/>
      <c r="AD10" s="96"/>
      <c r="AE10" s="31"/>
    </row>
    <row r="11" customFormat="false" ht="33" hidden="false" customHeight="true" outlineLevel="0" collapsed="false">
      <c r="A11" s="110" t="s">
        <v>1414</v>
      </c>
      <c r="C11" s="73" t="s">
        <v>1529</v>
      </c>
      <c r="Y11" s="29"/>
      <c r="Z11" s="29"/>
      <c r="AA11" s="29"/>
      <c r="AB11" s="60"/>
      <c r="AC11" s="60"/>
      <c r="AD11" s="60"/>
    </row>
    <row r="12" customFormat="false" ht="15.75" hidden="false" customHeight="true" outlineLevel="0" collapsed="false">
      <c r="C12" s="73" t="s">
        <v>1530</v>
      </c>
      <c r="W12" s="73" t="s">
        <v>1251</v>
      </c>
      <c r="X12" s="32"/>
      <c r="Y12" s="29"/>
      <c r="Z12" s="29"/>
      <c r="AA12" s="29"/>
      <c r="AB12" s="96" t="n">
        <f aca="false">v_a_d_total</f>
        <v>13400000</v>
      </c>
      <c r="AC12" s="96"/>
      <c r="AD12" s="96"/>
      <c r="AE12" s="31"/>
    </row>
    <row r="13" customFormat="false" ht="15" hidden="false" customHeight="true" outlineLevel="0" collapsed="false">
      <c r="C13" s="132" t="str">
        <f aca="false">v_a_d1_desc</f>
        <v>10 decimal land, Village A, Upazila B, District C</v>
      </c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U13" s="110" t="s">
        <v>1251</v>
      </c>
      <c r="V13" s="96" t="n">
        <f aca="false">IF(N(v_a_d1_val)=0,"",v_a_d1_val)</f>
        <v>6700000</v>
      </c>
      <c r="W13" s="96"/>
      <c r="X13" s="96"/>
      <c r="Y13" s="96"/>
      <c r="Z13" s="96"/>
      <c r="AA13" s="96"/>
      <c r="AB13" s="83"/>
      <c r="AC13" s="83"/>
      <c r="AD13" s="83"/>
    </row>
    <row r="14" customFormat="false" ht="15.75" hidden="false" customHeight="true" outlineLevel="0" collapsed="false">
      <c r="C14" s="132" t="str">
        <f aca="false">v_a_d2_desc</f>
        <v>10 decimal land, Village A, Upazila B, District C</v>
      </c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U14" s="110" t="s">
        <v>1251</v>
      </c>
      <c r="V14" s="96" t="n">
        <f aca="false">IF(N(v_a_d2_val)=0,"",v_a_d2_val)</f>
        <v>6700000</v>
      </c>
      <c r="W14" s="96"/>
      <c r="X14" s="96"/>
      <c r="Y14" s="96"/>
      <c r="Z14" s="96"/>
      <c r="AA14" s="96"/>
    </row>
    <row r="15" customFormat="false" ht="15" hidden="false" customHeight="true" outlineLevel="0" collapsed="false">
      <c r="C15" s="132" t="str">
        <f aca="false">v_a_d3_desc</f>
        <v/>
      </c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U15" s="110" t="s">
        <v>1251</v>
      </c>
      <c r="V15" s="96" t="str">
        <f aca="false">IF(N(v_a_d3_val)=0,"",v_a_d3_val)</f>
        <v/>
      </c>
      <c r="W15" s="96"/>
      <c r="X15" s="96"/>
      <c r="Y15" s="96"/>
      <c r="Z15" s="96"/>
      <c r="AA15" s="96"/>
    </row>
    <row r="16" customFormat="false" ht="15" hidden="false" customHeight="true" outlineLevel="0" collapsed="false">
      <c r="C16" s="132" t="str">
        <f aca="false">v_a_d4_desc</f>
        <v/>
      </c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U16" s="110" t="s">
        <v>1251</v>
      </c>
      <c r="V16" s="96" t="str">
        <f aca="false">IF(N(v_a_d4_val)=0,"",v_a_d4_val)</f>
        <v/>
      </c>
      <c r="W16" s="96"/>
      <c r="X16" s="96"/>
      <c r="Y16" s="96"/>
      <c r="Z16" s="96"/>
      <c r="AA16" s="96"/>
    </row>
    <row r="17" customFormat="false" ht="15.75" hidden="false" customHeight="true" outlineLevel="0" collapsed="false">
      <c r="D17" s="126" t="s">
        <v>1531</v>
      </c>
    </row>
    <row r="18" customFormat="false" ht="15.75" hidden="false" customHeight="true" outlineLevel="0" collapsed="false">
      <c r="A18" s="110" t="s">
        <v>1416</v>
      </c>
      <c r="C18" s="110" t="s">
        <v>1532</v>
      </c>
      <c r="Y18" s="29"/>
      <c r="Z18" s="29"/>
      <c r="AA18" s="29"/>
      <c r="AB18" s="29"/>
      <c r="AC18" s="29"/>
      <c r="AD18" s="29"/>
    </row>
    <row r="19" customFormat="false" ht="15.75" hidden="false" customHeight="true" outlineLevel="0" collapsed="false">
      <c r="C19" s="73" t="s">
        <v>1533</v>
      </c>
      <c r="L19" s="132" t="str">
        <f aca="false">v_a_e_desc</f>
        <v/>
      </c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73" t="s">
        <v>1251</v>
      </c>
      <c r="X19" s="32"/>
      <c r="Y19" s="29"/>
      <c r="Z19" s="29"/>
      <c r="AA19" s="29"/>
      <c r="AB19" s="96" t="str">
        <f aca="false">IF(N(v_a_e_total)=0,"",v_a_e_total)</f>
        <v/>
      </c>
      <c r="AC19" s="96"/>
      <c r="AD19" s="96"/>
      <c r="AE19" s="31"/>
    </row>
    <row r="20" customFormat="false" ht="18" hidden="false" customHeight="true" outlineLevel="0" collapsed="false">
      <c r="A20" s="110" t="s">
        <v>1418</v>
      </c>
      <c r="C20" s="110" t="s">
        <v>248</v>
      </c>
      <c r="AB20" s="83"/>
      <c r="AC20" s="83"/>
      <c r="AD20" s="83"/>
    </row>
    <row r="21" customFormat="false" ht="3" hidden="false" customHeight="true" outlineLevel="0" collapsed="false">
      <c r="R21" s="29"/>
      <c r="S21" s="29"/>
      <c r="T21" s="29"/>
      <c r="U21" s="29"/>
      <c r="V21" s="29"/>
      <c r="W21" s="29"/>
      <c r="X21" s="29"/>
    </row>
    <row r="22" customFormat="false" ht="18" hidden="false" customHeight="true" outlineLevel="0" collapsed="false">
      <c r="C22" s="110" t="s">
        <v>1534</v>
      </c>
      <c r="D22" s="110" t="s">
        <v>1535</v>
      </c>
      <c r="O22" s="73" t="s">
        <v>1251</v>
      </c>
      <c r="Q22" s="32"/>
      <c r="S22" s="131" t="n">
        <f aca="false">v_a_f1</f>
        <v>0</v>
      </c>
      <c r="T22" s="131"/>
      <c r="U22" s="131"/>
      <c r="V22" s="131"/>
      <c r="W22" s="131"/>
      <c r="X22" s="131"/>
      <c r="Y22" s="31"/>
    </row>
    <row r="23" customFormat="false" ht="3" hidden="false" customHeight="true" outlineLevel="0" collapsed="false">
      <c r="Q23" s="32"/>
      <c r="R23" s="29"/>
      <c r="S23" s="29"/>
      <c r="T23" s="29"/>
      <c r="U23" s="29"/>
      <c r="V23" s="29"/>
      <c r="W23" s="29"/>
      <c r="X23" s="40"/>
    </row>
    <row r="24" customFormat="false" ht="18" hidden="false" customHeight="true" outlineLevel="0" collapsed="false">
      <c r="C24" s="110" t="s">
        <v>1536</v>
      </c>
      <c r="O24" s="73" t="s">
        <v>1251</v>
      </c>
      <c r="Q24" s="32"/>
      <c r="S24" s="131" t="n">
        <f aca="false">v_a_f2</f>
        <v>0</v>
      </c>
      <c r="T24" s="131"/>
      <c r="U24" s="131"/>
      <c r="V24" s="131"/>
      <c r="W24" s="131"/>
      <c r="X24" s="131"/>
      <c r="Y24" s="31"/>
    </row>
    <row r="25" customFormat="false" ht="3" hidden="false" customHeight="true" outlineLevel="0" collapsed="false">
      <c r="Q25" s="32"/>
      <c r="R25" s="29"/>
      <c r="S25" s="29"/>
      <c r="T25" s="29"/>
      <c r="U25" s="29"/>
      <c r="V25" s="29"/>
      <c r="W25" s="29"/>
      <c r="X25" s="40"/>
    </row>
    <row r="26" customFormat="false" ht="18" hidden="false" customHeight="true" outlineLevel="0" collapsed="false">
      <c r="C26" s="110" t="s">
        <v>1537</v>
      </c>
      <c r="O26" s="73" t="s">
        <v>1251</v>
      </c>
      <c r="Q26" s="32"/>
      <c r="S26" s="131" t="n">
        <f aca="false">v_a_f3</f>
        <v>0</v>
      </c>
      <c r="T26" s="131"/>
      <c r="U26" s="131"/>
      <c r="V26" s="131"/>
      <c r="W26" s="131"/>
      <c r="X26" s="131"/>
      <c r="Y26" s="31"/>
    </row>
    <row r="27" customFormat="false" ht="3" hidden="false" customHeight="true" outlineLevel="0" collapsed="false">
      <c r="Q27" s="32"/>
      <c r="R27" s="29"/>
      <c r="S27" s="29"/>
      <c r="T27" s="29"/>
      <c r="U27" s="29"/>
      <c r="V27" s="29"/>
      <c r="W27" s="29"/>
      <c r="X27" s="40"/>
    </row>
    <row r="28" customFormat="false" ht="15.75" hidden="false" customHeight="true" outlineLevel="0" collapsed="false">
      <c r="C28" s="110" t="s">
        <v>1538</v>
      </c>
      <c r="O28" s="73" t="s">
        <v>1251</v>
      </c>
      <c r="Q28" s="32"/>
      <c r="R28" s="29"/>
      <c r="S28" s="131" t="n">
        <f aca="false">v_a_f4</f>
        <v>0</v>
      </c>
      <c r="T28" s="131"/>
      <c r="U28" s="131"/>
      <c r="V28" s="131"/>
      <c r="W28" s="131"/>
      <c r="X28" s="131"/>
      <c r="Y28" s="31"/>
    </row>
    <row r="29" customFormat="false" ht="17.25" hidden="false" customHeight="true" outlineLevel="0" collapsed="false">
      <c r="D29" s="110" t="s">
        <v>1539</v>
      </c>
      <c r="S29" s="83"/>
      <c r="T29" s="83"/>
      <c r="U29" s="83"/>
      <c r="V29" s="83"/>
      <c r="W29" s="83"/>
      <c r="X29" s="83"/>
    </row>
    <row r="30" customFormat="false" ht="3" hidden="false" customHeight="true" outlineLevel="0" collapsed="false">
      <c r="R30" s="29"/>
      <c r="S30" s="29"/>
      <c r="T30" s="29"/>
      <c r="U30" s="29"/>
      <c r="V30" s="29"/>
      <c r="W30" s="29"/>
      <c r="X30" s="29"/>
    </row>
    <row r="31" customFormat="false" ht="15" hidden="false" customHeight="true" outlineLevel="0" collapsed="false">
      <c r="C31" s="110" t="s">
        <v>1540</v>
      </c>
      <c r="O31" s="73" t="s">
        <v>1251</v>
      </c>
      <c r="Q31" s="32"/>
      <c r="R31" s="29"/>
      <c r="S31" s="95" t="str">
        <f aca="false">IF(N(v_a_f5)=0,"",v_a_f5)</f>
        <v/>
      </c>
      <c r="T31" s="95"/>
      <c r="U31" s="95"/>
      <c r="V31" s="95"/>
      <c r="W31" s="95"/>
      <c r="X31" s="95"/>
      <c r="Y31" s="31"/>
    </row>
    <row r="32" customFormat="false" ht="15.75" hidden="false" customHeight="true" outlineLevel="0" collapsed="false">
      <c r="C32" s="110" t="s">
        <v>1541</v>
      </c>
      <c r="O32" s="73" t="s">
        <v>1251</v>
      </c>
      <c r="Q32" s="32"/>
      <c r="R32" s="29"/>
      <c r="S32" s="133" t="n">
        <f aca="false">v_a_f6</f>
        <v>950048</v>
      </c>
      <c r="T32" s="133"/>
      <c r="U32" s="133"/>
      <c r="V32" s="133"/>
      <c r="W32" s="133"/>
      <c r="X32" s="133"/>
      <c r="Y32" s="31"/>
    </row>
    <row r="33" customFormat="false" ht="15.75" hidden="false" customHeight="true" outlineLevel="0" collapsed="false">
      <c r="C33" s="110" t="s">
        <v>1542</v>
      </c>
      <c r="O33" s="73" t="s">
        <v>1251</v>
      </c>
      <c r="Q33" s="32"/>
      <c r="R33" s="29"/>
      <c r="S33" s="131" t="n">
        <f aca="false">v_a_f7</f>
        <v>0</v>
      </c>
      <c r="T33" s="131"/>
      <c r="U33" s="131"/>
      <c r="V33" s="131"/>
      <c r="W33" s="131"/>
      <c r="X33" s="131"/>
      <c r="Y33" s="43"/>
      <c r="Z33" s="29"/>
      <c r="AA33" s="29"/>
      <c r="AB33" s="29"/>
      <c r="AC33" s="29"/>
      <c r="AD33" s="29"/>
    </row>
    <row r="34" customFormat="false" ht="15" hidden="false" customHeight="true" outlineLevel="0" collapsed="false">
      <c r="K34" s="110" t="s">
        <v>1543</v>
      </c>
      <c r="S34" s="83"/>
      <c r="T34" s="83"/>
      <c r="U34" s="83"/>
      <c r="V34" s="83"/>
      <c r="W34" s="82" t="s">
        <v>1251</v>
      </c>
      <c r="X34" s="97"/>
      <c r="Y34" s="29"/>
      <c r="Z34" s="29"/>
      <c r="AA34" s="29"/>
      <c r="AB34" s="96" t="n">
        <f aca="false">v_a_f_total</f>
        <v>950048</v>
      </c>
      <c r="AC34" s="96"/>
      <c r="AD34" s="96"/>
      <c r="AE34" s="31"/>
    </row>
    <row r="35" customFormat="false" ht="28.5" hidden="false" customHeight="true" outlineLevel="0" collapsed="false">
      <c r="Y35" s="29"/>
      <c r="Z35" s="29"/>
      <c r="AA35" s="29"/>
      <c r="AB35" s="60"/>
      <c r="AC35" s="60"/>
      <c r="AD35" s="60"/>
    </row>
    <row r="36" customFormat="false" ht="18.75" hidden="false" customHeight="true" outlineLevel="0" collapsed="false">
      <c r="A36" s="110" t="s">
        <v>1544</v>
      </c>
      <c r="C36" s="110" t="s">
        <v>1545</v>
      </c>
      <c r="W36" s="73" t="s">
        <v>1251</v>
      </c>
      <c r="X36" s="32"/>
      <c r="AB36" s="96" t="str">
        <f aca="false">IF(N(v_a_g)=0,"",v_a_g)</f>
        <v/>
      </c>
      <c r="AC36" s="96"/>
      <c r="AD36" s="96"/>
      <c r="AE36" s="31"/>
    </row>
    <row r="37" customFormat="false" ht="3" hidden="false" customHeight="true" outlineLevel="0" collapsed="false">
      <c r="X37" s="32"/>
      <c r="Y37" s="29"/>
      <c r="Z37" s="29"/>
      <c r="AA37" s="29"/>
      <c r="AB37" s="29"/>
      <c r="AC37" s="29"/>
      <c r="AD37" s="40"/>
    </row>
    <row r="38" customFormat="false" ht="15" hidden="false" customHeight="true" outlineLevel="0" collapsed="false">
      <c r="C38" s="110" t="s">
        <v>1546</v>
      </c>
      <c r="N38" s="103" t="str">
        <f aca="false">v_a_g_desc</f>
        <v/>
      </c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</row>
    <row r="39" customFormat="false" ht="13.5" hidden="false" customHeight="true" outlineLevel="0" collapsed="false">
      <c r="Y39" s="29"/>
      <c r="Z39" s="29"/>
      <c r="AA39" s="29"/>
      <c r="AB39" s="29"/>
      <c r="AC39" s="29"/>
      <c r="AD39" s="29"/>
    </row>
    <row r="40" customFormat="false" ht="20.25" hidden="false" customHeight="true" outlineLevel="0" collapsed="false">
      <c r="A40" s="110" t="s">
        <v>1547</v>
      </c>
      <c r="C40" s="110" t="s">
        <v>1548</v>
      </c>
      <c r="F40" s="127" t="str">
        <f aca="false">v_a_h_qty</f>
        <v>25 Bhori</v>
      </c>
      <c r="G40" s="127"/>
      <c r="H40" s="134" t="str">
        <f aca="false">v_a_h_type_shown</f>
        <v>(Gold)</v>
      </c>
      <c r="I40" s="134"/>
      <c r="J40" s="134"/>
      <c r="K40" s="134"/>
      <c r="M40" s="103" t="str">
        <f aca="false">v_a_h_note</f>
        <v>(Wedding Gifts)</v>
      </c>
      <c r="N40" s="103"/>
      <c r="O40" s="103"/>
      <c r="P40" s="103"/>
      <c r="Q40" s="103"/>
      <c r="R40" s="103"/>
      <c r="S40" s="103"/>
      <c r="T40" s="103"/>
      <c r="U40" s="103"/>
      <c r="V40" s="103"/>
      <c r="W40" s="73" t="s">
        <v>1251</v>
      </c>
      <c r="X40" s="32"/>
      <c r="AB40" s="135" t="n">
        <f aca="false">v_a_h</f>
        <v>0</v>
      </c>
      <c r="AC40" s="135"/>
      <c r="AD40" s="135"/>
      <c r="AE40" s="31"/>
    </row>
    <row r="41" customFormat="false" ht="4.5" hidden="false" customHeight="true" outlineLevel="0" collapsed="false">
      <c r="X41" s="32"/>
      <c r="Y41" s="29"/>
      <c r="Z41" s="29"/>
      <c r="AA41" s="29"/>
      <c r="AB41" s="29"/>
      <c r="AC41" s="29"/>
      <c r="AD41" s="40"/>
    </row>
    <row r="42" customFormat="false" ht="19.5" hidden="false" customHeight="true" outlineLevel="0" collapsed="false">
      <c r="A42" s="110" t="s">
        <v>1534</v>
      </c>
      <c r="C42" s="110" t="s">
        <v>1549</v>
      </c>
      <c r="M42" s="103" t="str">
        <f aca="false">v_a_i_note</f>
        <v>(Wedding Gifts)</v>
      </c>
      <c r="N42" s="103"/>
      <c r="O42" s="103"/>
      <c r="P42" s="103"/>
      <c r="Q42" s="103"/>
      <c r="R42" s="103"/>
      <c r="S42" s="103"/>
      <c r="T42" s="103"/>
      <c r="U42" s="103"/>
      <c r="V42" s="103"/>
      <c r="W42" s="73" t="s">
        <v>1251</v>
      </c>
      <c r="X42" s="32"/>
      <c r="Y42" s="29"/>
      <c r="Z42" s="29"/>
      <c r="AA42" s="29"/>
      <c r="AB42" s="136" t="n">
        <f aca="false">v_a_i</f>
        <v>300000</v>
      </c>
      <c r="AC42" s="136"/>
      <c r="AD42" s="136"/>
      <c r="AE42" s="31"/>
    </row>
    <row r="43" customFormat="false" ht="18.75" hidden="false" customHeight="true" outlineLevel="0" collapsed="false">
      <c r="A43" s="110" t="s">
        <v>1550</v>
      </c>
      <c r="C43" s="110" t="s">
        <v>1551</v>
      </c>
      <c r="W43" s="73" t="s">
        <v>1251</v>
      </c>
      <c r="X43" s="32"/>
      <c r="AB43" s="135" t="n">
        <f aca="false">v_a_j</f>
        <v>0</v>
      </c>
      <c r="AC43" s="135"/>
      <c r="AD43" s="135"/>
      <c r="AE43" s="31"/>
    </row>
    <row r="44" customFormat="false" ht="3.75" hidden="false" customHeight="true" outlineLevel="0" collapsed="false">
      <c r="X44" s="32"/>
      <c r="Y44" s="29"/>
      <c r="Z44" s="29"/>
      <c r="AA44" s="29"/>
      <c r="AB44" s="29"/>
      <c r="AC44" s="29"/>
      <c r="AD44" s="40"/>
    </row>
    <row r="45" customFormat="false" ht="18" hidden="false" customHeight="true" outlineLevel="0" collapsed="false">
      <c r="A45" s="110" t="s">
        <v>1552</v>
      </c>
      <c r="C45" s="110" t="s">
        <v>1553</v>
      </c>
      <c r="W45" s="73" t="s">
        <v>1251</v>
      </c>
      <c r="X45" s="32"/>
      <c r="AB45" s="135" t="n">
        <f aca="false">v_a_k</f>
        <v>813794</v>
      </c>
      <c r="AC45" s="135"/>
      <c r="AD45" s="135"/>
      <c r="AE45" s="31"/>
    </row>
    <row r="46" customFormat="false" ht="3" hidden="false" customHeight="true" outlineLevel="0" collapsed="false">
      <c r="X46" s="32"/>
      <c r="Y46" s="29"/>
      <c r="Z46" s="29"/>
      <c r="AA46" s="29"/>
      <c r="AB46" s="29"/>
      <c r="AC46" s="29"/>
      <c r="AD46" s="40"/>
    </row>
    <row r="47" customFormat="false" ht="21" hidden="false" customHeight="true" outlineLevel="0" collapsed="false">
      <c r="Y47" s="44"/>
      <c r="Z47" s="44"/>
      <c r="AA47" s="44"/>
      <c r="AB47" s="44"/>
      <c r="AC47" s="44"/>
      <c r="AD47" s="44"/>
    </row>
    <row r="48" customFormat="false" ht="18" hidden="false" customHeight="true" outlineLevel="0" collapsed="false">
      <c r="B48" s="110" t="s">
        <v>1282</v>
      </c>
      <c r="C48" s="110" t="s">
        <v>1443</v>
      </c>
      <c r="W48" s="73" t="s">
        <v>1251</v>
      </c>
      <c r="X48" s="46"/>
      <c r="AB48" s="130" t="n">
        <f aca="false">v_a_total</f>
        <v>15463842</v>
      </c>
      <c r="AC48" s="130"/>
      <c r="AD48" s="130"/>
      <c r="AE48" s="45"/>
    </row>
    <row r="49" customFormat="false" ht="3.75" hidden="false" customHeight="true" outlineLevel="0" collapsed="false">
      <c r="X49" s="46"/>
      <c r="Y49" s="44"/>
      <c r="Z49" s="44"/>
      <c r="AA49" s="44"/>
      <c r="AB49" s="44"/>
      <c r="AC49" s="44"/>
      <c r="AD49" s="58"/>
    </row>
    <row r="50" customFormat="false" ht="21.75" hidden="false" customHeight="true" outlineLevel="0" collapsed="false">
      <c r="J50" s="123" t="s">
        <v>1358</v>
      </c>
    </row>
    <row r="51" customFormat="false" ht="18.75" hidden="false" customHeight="true" outlineLevel="0" collapsed="false">
      <c r="C51" s="124" t="s">
        <v>1554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124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</row>
    <row r="52" customFormat="false" ht="14.25" hidden="false" customHeight="true" outlineLevel="0" collapsed="false">
      <c r="C52" s="73" t="s">
        <v>1555</v>
      </c>
    </row>
    <row r="53" customFormat="false" ht="60" hidden="false" customHeight="true" outlineLevel="0" collapsed="false">
      <c r="Z53" s="137" t="str">
        <f aca="false">v_name</f>
        <v>Sample Taxpayer</v>
      </c>
    </row>
    <row r="54" customFormat="false" ht="13.5" hidden="false" customHeight="true" outlineLevel="0" collapsed="false">
      <c r="T54" s="73" t="s">
        <v>1556</v>
      </c>
    </row>
    <row r="55" customFormat="false" ht="15" hidden="false" customHeight="true" outlineLevel="0" collapsed="false">
      <c r="G55" s="73" t="s">
        <v>1557</v>
      </c>
      <c r="U55" s="73" t="s">
        <v>1365</v>
      </c>
      <c r="X55" s="103" t="str">
        <f aca="false">v_date</f>
        <v>20/10/2026</v>
      </c>
      <c r="Y55" s="103"/>
      <c r="Z55" s="103"/>
      <c r="AA55" s="103"/>
      <c r="AB55" s="103"/>
      <c r="AC55" s="103"/>
      <c r="AD55" s="103"/>
      <c r="AE55" s="103"/>
    </row>
    <row r="56" customFormat="false" ht="2.25" hidden="false" customHeight="true" outlineLevel="0" collapsed="false"/>
  </sheetData>
  <sheetProtection sheet="true"/>
  <mergeCells count="40">
    <mergeCell ref="E1:L1"/>
    <mergeCell ref="P1:X1"/>
    <mergeCell ref="AA1:AE1"/>
    <mergeCell ref="Q4:V4"/>
    <mergeCell ref="Q6:V6"/>
    <mergeCell ref="AB7:AD7"/>
    <mergeCell ref="AB8:AD8"/>
    <mergeCell ref="AB10:AD10"/>
    <mergeCell ref="AB12:AD12"/>
    <mergeCell ref="C13:S13"/>
    <mergeCell ref="V13:AA13"/>
    <mergeCell ref="C14:S14"/>
    <mergeCell ref="V14:AA14"/>
    <mergeCell ref="C15:S15"/>
    <mergeCell ref="V15:AA15"/>
    <mergeCell ref="C16:S16"/>
    <mergeCell ref="V16:AA16"/>
    <mergeCell ref="L19:V19"/>
    <mergeCell ref="AB19:AD19"/>
    <mergeCell ref="S22:X22"/>
    <mergeCell ref="S24:X24"/>
    <mergeCell ref="S26:X26"/>
    <mergeCell ref="S28:X28"/>
    <mergeCell ref="S31:X31"/>
    <mergeCell ref="S32:X32"/>
    <mergeCell ref="S33:X33"/>
    <mergeCell ref="AB34:AD34"/>
    <mergeCell ref="AB36:AD36"/>
    <mergeCell ref="N38:AC38"/>
    <mergeCell ref="F40:G40"/>
    <mergeCell ref="H40:K40"/>
    <mergeCell ref="M40:V40"/>
    <mergeCell ref="AB40:AD40"/>
    <mergeCell ref="M42:V42"/>
    <mergeCell ref="AB42:AD42"/>
    <mergeCell ref="AB43:AD43"/>
    <mergeCell ref="AB45:AD45"/>
    <mergeCell ref="AB48:AD48"/>
    <mergeCell ref="C51:AC51"/>
    <mergeCell ref="X55:AE55"/>
  </mergeCells>
  <printOptions headings="false" gridLines="false" gridLinesSet="true" horizontalCentered="false" verticalCentered="false"/>
  <pageMargins left="0.74375" right="1.38888888888889" top="0.771527777777778" bottom="0.954861111111111" header="0.511811023622047" footer="0.511811023622047"/>
  <pageSetup paperSize="9" scale="8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0.37"/>
    <col collapsed="false" customWidth="true" hidden="false" outlineLevel="0" max="2" min="2" style="0" width="0.25"/>
    <col collapsed="false" customWidth="true" hidden="false" outlineLevel="0" max="3" min="3" style="0" width="1.75"/>
    <col collapsed="false" customWidth="true" hidden="false" outlineLevel="0" max="4" min="4" style="0" width="7.25"/>
    <col collapsed="false" customWidth="true" hidden="false" outlineLevel="0" max="5" min="5" style="0" width="7"/>
    <col collapsed="false" customWidth="true" hidden="false" outlineLevel="0" max="6" min="6" style="0" width="0.25"/>
    <col collapsed="false" customWidth="true" hidden="false" outlineLevel="0" max="7" min="7" style="0" width="1.12"/>
    <col collapsed="false" customWidth="true" hidden="false" outlineLevel="0" max="8" min="8" style="0" width="3"/>
    <col collapsed="false" customWidth="true" hidden="false" outlineLevel="0" max="9" min="9" style="0" width="0.75"/>
    <col collapsed="false" customWidth="true" hidden="false" outlineLevel="0" max="10" min="10" style="0" width="6.75"/>
    <col collapsed="false" customWidth="true" hidden="false" outlineLevel="0" max="11" min="11" style="0" width="2.75"/>
    <col collapsed="false" customWidth="true" hidden="false" outlineLevel="0" max="12" min="12" style="0" width="4.63"/>
    <col collapsed="false" customWidth="true" hidden="false" outlineLevel="0" max="13" min="13" style="0" width="0.5"/>
    <col collapsed="false" customWidth="true" hidden="false" outlineLevel="0" max="14" min="14" style="0" width="0.37"/>
    <col collapsed="false" customWidth="true" hidden="false" outlineLevel="0" max="15" min="15" style="0" width="1.5"/>
    <col collapsed="false" customWidth="true" hidden="false" outlineLevel="0" max="16" min="16" style="0" width="0.37"/>
    <col collapsed="false" customWidth="true" hidden="false" outlineLevel="0" max="17" min="17" style="0" width="3.5"/>
    <col collapsed="false" customWidth="true" hidden="false" outlineLevel="0" max="18" min="18" style="0" width="0.5"/>
    <col collapsed="false" customWidth="true" hidden="false" outlineLevel="0" max="19" min="19" style="0" width="0.87"/>
    <col collapsed="false" customWidth="true" hidden="false" outlineLevel="0" max="20" min="20" style="0" width="1.25"/>
    <col collapsed="false" customWidth="true" hidden="false" outlineLevel="0" max="21" min="21" style="0" width="0.37"/>
    <col collapsed="false" customWidth="true" hidden="false" outlineLevel="0" max="22" min="22" style="0" width="10.5"/>
    <col collapsed="false" customWidth="true" hidden="false" outlineLevel="0" max="23" min="23" style="0" width="1.12"/>
    <col collapsed="false" customWidth="true" hidden="false" outlineLevel="0" max="24" min="24" style="0" width="3.5"/>
    <col collapsed="false" customWidth="true" hidden="false" outlineLevel="0" max="25" min="25" style="0" width="1.88"/>
    <col collapsed="false" customWidth="true" hidden="false" outlineLevel="0" max="26" min="26" style="0" width="1.12"/>
    <col collapsed="false" customWidth="true" hidden="false" outlineLevel="0" max="27" min="27" style="0" width="0.5"/>
    <col collapsed="false" customWidth="true" hidden="false" outlineLevel="0" max="28" min="28" style="0" width="2.38"/>
    <col collapsed="false" customWidth="true" hidden="false" outlineLevel="0" max="29" min="29" style="0" width="4.88"/>
    <col collapsed="false" customWidth="true" hidden="false" outlineLevel="0" max="30" min="30" style="0" width="3"/>
    <col collapsed="false" customWidth="true" hidden="false" outlineLevel="0" max="31" min="31" style="0" width="1.75"/>
    <col collapsed="false" customWidth="true" hidden="false" outlineLevel="0" max="32" min="32" style="0" width="0.12"/>
  </cols>
  <sheetData>
    <row r="1" customFormat="false" ht="15.75" hidden="false" customHeight="true" outlineLevel="0" collapsed="false">
      <c r="K1" s="138" t="s">
        <v>1558</v>
      </c>
    </row>
    <row r="2" customFormat="false" ht="14.25" hidden="false" customHeight="true" outlineLevel="0" collapsed="false">
      <c r="N2" s="139" t="str">
        <f aca="false">v_name_line</f>
        <v>Name: Sample Taxpayer</v>
      </c>
    </row>
    <row r="3" customFormat="false" ht="15" hidden="false" customHeight="true" outlineLevel="0" collapsed="false">
      <c r="L3" s="140" t="s">
        <v>1247</v>
      </c>
      <c r="M3" s="141" t="str">
        <f aca="false">v_tin</f>
        <v>111122223333</v>
      </c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</row>
    <row r="4" customFormat="false" ht="14.25" hidden="false" customHeight="true" outlineLevel="0" collapsed="false">
      <c r="J4" s="142" t="s">
        <v>1559</v>
      </c>
      <c r="R4" s="143" t="str">
        <f aca="false">v_iy_end_dmy</f>
        <v>30-Jun-26</v>
      </c>
      <c r="S4" s="143"/>
      <c r="T4" s="143"/>
      <c r="U4" s="143"/>
      <c r="V4" s="143"/>
      <c r="W4" s="143"/>
      <c r="X4" s="143"/>
    </row>
    <row r="5" customFormat="false" ht="14.25" hidden="false" customHeight="true" outlineLevel="0" collapsed="false">
      <c r="Z5" s="29"/>
      <c r="AA5" s="107" t="s">
        <v>214</v>
      </c>
      <c r="AB5" s="107"/>
      <c r="AC5" s="107"/>
      <c r="AD5" s="107" t="s">
        <v>1251</v>
      </c>
    </row>
    <row r="6" customFormat="false" ht="1.5" hidden="false" customHeight="true" outlineLevel="0" collapsed="false">
      <c r="AA6" s="107"/>
      <c r="AB6" s="107"/>
      <c r="AC6" s="107"/>
      <c r="AD6" s="107"/>
    </row>
    <row r="7" customFormat="false" ht="24.75" hidden="false" customHeight="true" outlineLevel="0" collapsed="false">
      <c r="A7" s="144" t="s">
        <v>1560</v>
      </c>
      <c r="D7" s="73" t="s">
        <v>1561</v>
      </c>
      <c r="AB7" s="81" t="n">
        <f aca="false">v_tc_A</f>
        <v>812058</v>
      </c>
      <c r="AC7" s="81"/>
      <c r="AD7" s="81"/>
      <c r="AE7" s="81"/>
    </row>
    <row r="8" customFormat="false" ht="14.25" hidden="false" customHeight="true" outlineLevel="0" collapsed="false">
      <c r="D8" s="73" t="s">
        <v>1562</v>
      </c>
      <c r="H8" s="145" t="s">
        <v>1563</v>
      </c>
      <c r="AB8" s="81" t="n">
        <f aca="false">v_tc_sp</f>
        <v>0</v>
      </c>
      <c r="AC8" s="81"/>
      <c r="AD8" s="81"/>
      <c r="AE8" s="81"/>
    </row>
    <row r="9" customFormat="false" ht="16.5" hidden="false" customHeight="true" outlineLevel="0" collapsed="false">
      <c r="Y9" s="146"/>
      <c r="Z9" s="146"/>
      <c r="AA9" s="146"/>
      <c r="AB9" s="81" t="n">
        <f aca="false">v_tc_An</f>
        <v>812058</v>
      </c>
      <c r="AC9" s="81"/>
      <c r="AD9" s="81"/>
      <c r="AE9" s="81"/>
    </row>
    <row r="10" customFormat="false" ht="35.25" hidden="false" customHeight="true" outlineLevel="0" collapsed="false">
      <c r="A10" s="144" t="s">
        <v>1564</v>
      </c>
      <c r="D10" s="147" t="s">
        <v>1565</v>
      </c>
      <c r="V10" s="147" t="s">
        <v>1373</v>
      </c>
      <c r="AB10" s="148"/>
      <c r="AC10" s="149" t="s">
        <v>1566</v>
      </c>
      <c r="AD10" s="148"/>
      <c r="AE10" s="148"/>
    </row>
    <row r="11" customFormat="false" ht="14.25" hidden="false" customHeight="true" outlineLevel="0" collapsed="false">
      <c r="D11" s="73" t="s">
        <v>1567</v>
      </c>
      <c r="P11" s="150" t="s">
        <v>1251</v>
      </c>
      <c r="T11" s="96" t="n">
        <f aca="false">v_tc_s0_inc</f>
        <v>400000</v>
      </c>
      <c r="U11" s="96"/>
      <c r="V11" s="96"/>
      <c r="W11" s="103" t="str">
        <f aca="false">v_tc_s0_rate</f>
        <v>0%</v>
      </c>
      <c r="X11" s="103"/>
      <c r="AB11" s="96" t="n">
        <f aca="false">v_tc_s0_tax</f>
        <v>0</v>
      </c>
      <c r="AC11" s="96"/>
      <c r="AD11" s="96"/>
      <c r="AE11" s="96"/>
    </row>
    <row r="12" customFormat="false" ht="14.25" hidden="false" customHeight="true" outlineLevel="0" collapsed="false">
      <c r="D12" s="73" t="s">
        <v>1568</v>
      </c>
      <c r="P12" s="150" t="s">
        <v>1251</v>
      </c>
      <c r="T12" s="96" t="n">
        <f aca="false">v_tc_s1_inc</f>
        <v>100000</v>
      </c>
      <c r="U12" s="96"/>
      <c r="V12" s="96"/>
      <c r="W12" s="103" t="str">
        <f aca="false">v_tc_s1_rate</f>
        <v>5%</v>
      </c>
      <c r="X12" s="103"/>
      <c r="AB12" s="96" t="n">
        <f aca="false">v_tc_s1_tax</f>
        <v>5000</v>
      </c>
      <c r="AC12" s="96"/>
      <c r="AD12" s="96"/>
      <c r="AE12" s="96"/>
    </row>
    <row r="13" customFormat="false" ht="14.25" hidden="false" customHeight="true" outlineLevel="0" collapsed="false">
      <c r="D13" s="73" t="s">
        <v>1568</v>
      </c>
      <c r="P13" s="150" t="s">
        <v>1251</v>
      </c>
      <c r="T13" s="96" t="n">
        <f aca="false">v_tc_s2_inc</f>
        <v>312058</v>
      </c>
      <c r="U13" s="96"/>
      <c r="V13" s="96"/>
      <c r="W13" s="103" t="str">
        <f aca="false">v_tc_s2_rate</f>
        <v>10%</v>
      </c>
      <c r="X13" s="103"/>
      <c r="AB13" s="96" t="n">
        <f aca="false">v_tc_s2_tax</f>
        <v>31205.8</v>
      </c>
      <c r="AC13" s="96"/>
      <c r="AD13" s="96"/>
      <c r="AE13" s="96"/>
    </row>
    <row r="14" customFormat="false" ht="15" hidden="false" customHeight="true" outlineLevel="0" collapsed="false">
      <c r="D14" s="73" t="s">
        <v>1568</v>
      </c>
      <c r="P14" s="150" t="s">
        <v>1251</v>
      </c>
      <c r="T14" s="96" t="n">
        <f aca="false">v_tc_s3_inc</f>
        <v>0</v>
      </c>
      <c r="U14" s="96"/>
      <c r="V14" s="96"/>
      <c r="W14" s="103" t="str">
        <f aca="false">v_tc_s3_rate</f>
        <v>15%</v>
      </c>
      <c r="X14" s="103"/>
      <c r="AB14" s="96" t="n">
        <f aca="false">v_tc_s3_tax</f>
        <v>0</v>
      </c>
      <c r="AC14" s="96"/>
      <c r="AD14" s="96"/>
      <c r="AE14" s="96"/>
    </row>
    <row r="15" customFormat="false" ht="14.25" hidden="false" customHeight="true" outlineLevel="0" collapsed="false">
      <c r="D15" s="73" t="s">
        <v>1568</v>
      </c>
      <c r="P15" s="150" t="s">
        <v>1251</v>
      </c>
      <c r="T15" s="96" t="n">
        <f aca="false">v_tc_s4_inc</f>
        <v>0</v>
      </c>
      <c r="U15" s="96"/>
      <c r="V15" s="96"/>
      <c r="W15" s="103" t="str">
        <f aca="false">v_tc_s4_rate</f>
        <v>20%</v>
      </c>
      <c r="X15" s="103"/>
      <c r="AB15" s="96" t="n">
        <f aca="false">v_tc_s4_tax</f>
        <v>0</v>
      </c>
      <c r="AC15" s="96"/>
      <c r="AD15" s="96"/>
      <c r="AE15" s="96"/>
    </row>
    <row r="16" customFormat="false" ht="15" hidden="false" customHeight="true" outlineLevel="0" collapsed="false">
      <c r="D16" s="73" t="s">
        <v>1569</v>
      </c>
      <c r="P16" s="150" t="s">
        <v>1251</v>
      </c>
      <c r="R16" s="29"/>
      <c r="S16" s="29"/>
      <c r="T16" s="95" t="n">
        <f aca="false">v_tc_s5_inc</f>
        <v>0</v>
      </c>
      <c r="U16" s="95"/>
      <c r="V16" s="95"/>
      <c r="W16" s="103" t="str">
        <f aca="false">v_tc_s5_rate</f>
        <v>25%</v>
      </c>
      <c r="X16" s="103"/>
      <c r="Y16" s="29"/>
      <c r="Z16" s="29"/>
      <c r="AA16" s="29"/>
      <c r="AB16" s="95" t="n">
        <f aca="false">v_tc_s5_tax</f>
        <v>0</v>
      </c>
      <c r="AC16" s="95"/>
      <c r="AD16" s="95"/>
      <c r="AE16" s="95"/>
    </row>
    <row r="17" customFormat="false" ht="14.25" hidden="false" customHeight="true" outlineLevel="0" collapsed="false">
      <c r="R17" s="146"/>
      <c r="S17" s="146"/>
      <c r="T17" s="96" t="n">
        <f aca="false">v_tc_sinc</f>
        <v>812058</v>
      </c>
      <c r="U17" s="96"/>
      <c r="V17" s="96"/>
      <c r="AB17" s="151" t="n">
        <f aca="false">v_tc_B</f>
        <v>36206</v>
      </c>
      <c r="AC17" s="151"/>
      <c r="AD17" s="151"/>
      <c r="AE17" s="151"/>
    </row>
    <row r="18" customFormat="false" ht="29.25" hidden="false" customHeight="true" outlineLevel="0" collapsed="false">
      <c r="A18" s="144" t="s">
        <v>1570</v>
      </c>
      <c r="D18" s="147" t="s">
        <v>1571</v>
      </c>
      <c r="T18" s="148"/>
      <c r="U18" s="148"/>
      <c r="V18" s="148"/>
    </row>
    <row r="19" customFormat="false" ht="16.5" hidden="false" customHeight="true" outlineLevel="0" collapsed="false">
      <c r="C19" s="110" t="s">
        <v>1572</v>
      </c>
      <c r="D19" s="110" t="s">
        <v>1573</v>
      </c>
      <c r="P19" s="150" t="s">
        <v>1251</v>
      </c>
      <c r="R19" s="29"/>
      <c r="S19" s="152" t="n">
        <f aca="false">v_tc_ci</f>
        <v>24361.74</v>
      </c>
      <c r="T19" s="152"/>
      <c r="U19" s="152"/>
      <c r="V19" s="152"/>
    </row>
    <row r="20" customFormat="false" ht="14.25" hidden="false" customHeight="true" outlineLevel="0" collapsed="false">
      <c r="B20" s="110" t="s">
        <v>1574</v>
      </c>
      <c r="D20" s="110" t="s">
        <v>1575</v>
      </c>
      <c r="P20" s="150" t="s">
        <v>1251</v>
      </c>
      <c r="R20" s="29"/>
      <c r="S20" s="152" t="n">
        <f aca="false">v_tc_cii</f>
        <v>0</v>
      </c>
      <c r="T20" s="152"/>
      <c r="U20" s="152"/>
      <c r="V20" s="152"/>
    </row>
    <row r="21" customFormat="false" ht="14.25" hidden="false" customHeight="true" outlineLevel="0" collapsed="false">
      <c r="A21" s="110" t="s">
        <v>1576</v>
      </c>
      <c r="P21" s="150" t="s">
        <v>1251</v>
      </c>
      <c r="R21" s="29"/>
      <c r="S21" s="153" t="n">
        <f aca="false">v_tc_ciii</f>
        <v>1000000</v>
      </c>
      <c r="T21" s="153"/>
      <c r="U21" s="153"/>
      <c r="V21" s="153"/>
    </row>
    <row r="22" customFormat="false" ht="15" hidden="false" customHeight="true" outlineLevel="0" collapsed="false">
      <c r="D22" s="110" t="s">
        <v>1577</v>
      </c>
      <c r="S22" s="83"/>
      <c r="T22" s="83"/>
      <c r="U22" s="83"/>
      <c r="V22" s="83"/>
      <c r="X22" s="154" t="s">
        <v>1251</v>
      </c>
      <c r="Y22" s="29"/>
      <c r="Z22" s="29"/>
      <c r="AA22" s="29"/>
      <c r="AB22" s="95" t="n">
        <f aca="false">v_tc_C</f>
        <v>0</v>
      </c>
      <c r="AC22" s="95"/>
      <c r="AD22" s="95"/>
      <c r="AE22" s="95"/>
    </row>
    <row r="23" customFormat="false" ht="21.75" hidden="false" customHeight="true" outlineLevel="0" collapsed="false">
      <c r="A23" s="144" t="s">
        <v>1578</v>
      </c>
      <c r="D23" s="155" t="s">
        <v>1579</v>
      </c>
      <c r="X23" s="144" t="s">
        <v>1251</v>
      </c>
      <c r="Y23" s="29"/>
      <c r="Z23" s="29"/>
      <c r="AA23" s="29"/>
      <c r="AB23" s="85" t="n">
        <f aca="false">v_tc_D</f>
        <v>36206</v>
      </c>
      <c r="AC23" s="85"/>
      <c r="AD23" s="85"/>
      <c r="AE23" s="85"/>
    </row>
    <row r="24" customFormat="false" ht="29.25" hidden="false" customHeight="true" outlineLevel="0" collapsed="false">
      <c r="A24" s="144" t="s">
        <v>1580</v>
      </c>
      <c r="D24" s="155" t="s">
        <v>1581</v>
      </c>
      <c r="AB24" s="83"/>
      <c r="AC24" s="83"/>
      <c r="AD24" s="83"/>
      <c r="AE24" s="83"/>
    </row>
    <row r="25" customFormat="false" ht="14.25" hidden="false" customHeight="true" outlineLevel="0" collapsed="false">
      <c r="C25" s="110" t="s">
        <v>1572</v>
      </c>
      <c r="D25" s="80" t="s">
        <v>1582</v>
      </c>
      <c r="P25" s="150" t="s">
        <v>1251</v>
      </c>
      <c r="T25" s="85" t="n">
        <f aca="false">v_tc_ei</f>
        <v>5000</v>
      </c>
      <c r="U25" s="85"/>
      <c r="V25" s="85"/>
    </row>
    <row r="26" customFormat="false" ht="15" hidden="false" customHeight="true" outlineLevel="0" collapsed="false">
      <c r="B26" s="110" t="s">
        <v>1574</v>
      </c>
      <c r="D26" s="80" t="s">
        <v>1583</v>
      </c>
      <c r="P26" s="150" t="s">
        <v>1251</v>
      </c>
      <c r="T26" s="85" t="n">
        <f aca="false">v_tc_eii</f>
        <v>0</v>
      </c>
      <c r="U26" s="85"/>
      <c r="V26" s="85"/>
    </row>
    <row r="27" customFormat="false" ht="14.25" hidden="false" customHeight="true" outlineLevel="0" collapsed="false">
      <c r="A27" s="110" t="s">
        <v>1584</v>
      </c>
      <c r="D27" s="80" t="s">
        <v>1585</v>
      </c>
      <c r="P27" s="150" t="s">
        <v>1251</v>
      </c>
      <c r="R27" s="29"/>
      <c r="S27" s="29"/>
      <c r="T27" s="85" t="n">
        <f aca="false">v_tc_eiii</f>
        <v>0</v>
      </c>
      <c r="U27" s="85"/>
      <c r="V27" s="85"/>
      <c r="Y27" s="29"/>
      <c r="Z27" s="29"/>
      <c r="AA27" s="29"/>
      <c r="AB27" s="29"/>
      <c r="AC27" s="29"/>
      <c r="AD27" s="29"/>
      <c r="AE27" s="29"/>
    </row>
    <row r="28" customFormat="false" ht="14.25" hidden="false" customHeight="true" outlineLevel="0" collapsed="false">
      <c r="D28" s="110" t="s">
        <v>1586</v>
      </c>
      <c r="T28" s="83"/>
      <c r="U28" s="83"/>
      <c r="V28" s="83"/>
      <c r="X28" s="154" t="s">
        <v>1251</v>
      </c>
      <c r="Y28" s="29"/>
      <c r="Z28" s="29"/>
      <c r="AA28" s="29"/>
      <c r="AB28" s="95" t="n">
        <f aca="false">v_tc_E</f>
        <v>5000</v>
      </c>
      <c r="AC28" s="95"/>
      <c r="AD28" s="95"/>
      <c r="AE28" s="95"/>
    </row>
    <row r="29" customFormat="false" ht="29.25" hidden="false" customHeight="true" outlineLevel="0" collapsed="false">
      <c r="A29" s="144" t="s">
        <v>1587</v>
      </c>
      <c r="D29" s="155" t="s">
        <v>1588</v>
      </c>
      <c r="X29" s="144" t="s">
        <v>1251</v>
      </c>
      <c r="AB29" s="85" t="n">
        <f aca="false">v_tc_F</f>
        <v>36206</v>
      </c>
      <c r="AC29" s="85"/>
      <c r="AD29" s="85"/>
      <c r="AE29" s="85"/>
    </row>
    <row r="30" customFormat="false" ht="29.25" hidden="false" customHeight="true" outlineLevel="0" collapsed="false">
      <c r="A30" s="144" t="s">
        <v>1589</v>
      </c>
      <c r="D30" s="155" t="s">
        <v>1590</v>
      </c>
    </row>
    <row r="31" customFormat="false" ht="14.25" hidden="false" customHeight="true" outlineLevel="0" collapsed="false">
      <c r="D31" s="80" t="s">
        <v>1591</v>
      </c>
      <c r="Q31" s="154" t="s">
        <v>1251</v>
      </c>
      <c r="T31" s="85" t="n">
        <f aca="false">v_tc_gs</f>
        <v>0</v>
      </c>
      <c r="U31" s="85"/>
      <c r="V31" s="85"/>
    </row>
    <row r="32" customFormat="false" ht="14.25" hidden="false" customHeight="true" outlineLevel="0" collapsed="false">
      <c r="D32" s="80" t="s">
        <v>1592</v>
      </c>
      <c r="Q32" s="154" t="s">
        <v>1251</v>
      </c>
      <c r="R32" s="29"/>
      <c r="S32" s="29"/>
      <c r="T32" s="85" t="str">
        <f aca="false">IF(N(v_tc_gd)=0,"",v_tc_gd)</f>
        <v/>
      </c>
      <c r="U32" s="85"/>
      <c r="V32" s="85"/>
      <c r="X32" s="144" t="s">
        <v>1251</v>
      </c>
      <c r="AB32" s="85" t="n">
        <f aca="false">v_tc_G</f>
        <v>0</v>
      </c>
      <c r="AC32" s="85"/>
      <c r="AD32" s="85"/>
      <c r="AE32" s="85"/>
    </row>
    <row r="33" customFormat="false" ht="29.25" hidden="false" customHeight="true" outlineLevel="0" collapsed="false">
      <c r="A33" s="144" t="s">
        <v>1593</v>
      </c>
      <c r="D33" s="155" t="s">
        <v>1594</v>
      </c>
      <c r="E33" s="80" t="s">
        <v>1563</v>
      </c>
      <c r="G33" s="155" t="s">
        <v>1595</v>
      </c>
      <c r="T33" s="83"/>
      <c r="U33" s="83"/>
      <c r="V33" s="83"/>
      <c r="AB33" s="85" t="n">
        <f aca="false">v_tc_H</f>
        <v>0</v>
      </c>
      <c r="AC33" s="85"/>
      <c r="AD33" s="85"/>
      <c r="AE33" s="85"/>
    </row>
    <row r="34" customFormat="false" ht="29.25" hidden="false" customHeight="true" outlineLevel="0" collapsed="false">
      <c r="A34" s="144" t="s">
        <v>1596</v>
      </c>
      <c r="D34" s="155" t="s">
        <v>1597</v>
      </c>
      <c r="X34" s="144" t="s">
        <v>1251</v>
      </c>
      <c r="AB34" s="85" t="n">
        <f aca="false">v_tc_I</f>
        <v>36206</v>
      </c>
      <c r="AC34" s="85"/>
      <c r="AD34" s="85"/>
      <c r="AE34" s="85"/>
    </row>
    <row r="35" customFormat="false" ht="29.25" hidden="false" customHeight="true" outlineLevel="0" collapsed="false">
      <c r="A35" s="144" t="s">
        <v>1598</v>
      </c>
      <c r="D35" s="155" t="s">
        <v>1599</v>
      </c>
    </row>
    <row r="36" customFormat="false" ht="13.5" hidden="false" customHeight="true" outlineLevel="0" collapsed="false">
      <c r="D36" s="154" t="s">
        <v>1600</v>
      </c>
      <c r="Q36" s="154" t="s">
        <v>1251</v>
      </c>
      <c r="U36" s="156" t="n">
        <f aca="false">v_tc_j1</f>
        <v>0</v>
      </c>
      <c r="V36" s="156"/>
    </row>
    <row r="37" customFormat="false" ht="13.5" hidden="false" customHeight="true" outlineLevel="0" collapsed="false">
      <c r="D37" s="154" t="s">
        <v>1601</v>
      </c>
      <c r="I37" s="157" t="s">
        <v>1563</v>
      </c>
      <c r="Q37" s="154" t="s">
        <v>1251</v>
      </c>
      <c r="U37" s="156" t="n">
        <f aca="false">v_tc_j2</f>
        <v>0</v>
      </c>
      <c r="V37" s="156"/>
    </row>
    <row r="38" customFormat="false" ht="15.75" hidden="false" customHeight="true" outlineLevel="0" collapsed="false">
      <c r="D38" s="154" t="s">
        <v>1602</v>
      </c>
      <c r="U38" s="156" t="n">
        <f aca="false">v_tc_j3</f>
        <v>0</v>
      </c>
      <c r="V38" s="156"/>
    </row>
    <row r="39" customFormat="false" ht="14.25" hidden="false" customHeight="true" outlineLevel="0" collapsed="false">
      <c r="D39" s="154" t="s">
        <v>1603</v>
      </c>
      <c r="U39" s="156" t="n">
        <f aca="false">v_tc_j4</f>
        <v>0</v>
      </c>
      <c r="V39" s="156"/>
    </row>
    <row r="40" customFormat="false" ht="15.75" hidden="false" customHeight="true" outlineLevel="0" collapsed="false">
      <c r="D40" s="154" t="s">
        <v>1604</v>
      </c>
      <c r="J40" s="157" t="s">
        <v>1605</v>
      </c>
      <c r="Q40" s="154" t="s">
        <v>1251</v>
      </c>
      <c r="R40" s="29"/>
      <c r="S40" s="29"/>
      <c r="T40" s="29"/>
      <c r="U40" s="158" t="n">
        <f aca="false">v_tc_j5</f>
        <v>0</v>
      </c>
      <c r="V40" s="158"/>
      <c r="AB40" s="81" t="n">
        <f aca="false">v_tc_jsub1</f>
        <v>0</v>
      </c>
      <c r="AC40" s="81"/>
      <c r="AD40" s="81"/>
      <c r="AE40" s="81"/>
    </row>
    <row r="41" customFormat="false" ht="13.5" hidden="false" customHeight="true" outlineLevel="0" collapsed="false">
      <c r="D41" s="154" t="s">
        <v>1606</v>
      </c>
      <c r="U41" s="156" t="n">
        <f aca="false">v_tc_j6</f>
        <v>0</v>
      </c>
      <c r="V41" s="156"/>
    </row>
    <row r="42" customFormat="false" ht="15" hidden="false" customHeight="true" outlineLevel="0" collapsed="false">
      <c r="D42" s="154" t="s">
        <v>1607</v>
      </c>
      <c r="Q42" s="154" t="s">
        <v>1251</v>
      </c>
      <c r="R42" s="29"/>
      <c r="S42" s="29"/>
      <c r="T42" s="29"/>
      <c r="U42" s="156" t="n">
        <f aca="false">v_tc_j7</f>
        <v>0</v>
      </c>
      <c r="V42" s="156"/>
      <c r="AB42" s="81" t="n">
        <f aca="false">v_tc_jsub2</f>
        <v>0</v>
      </c>
      <c r="AC42" s="81"/>
      <c r="AD42" s="81"/>
      <c r="AE42" s="81"/>
    </row>
    <row r="43" customFormat="false" ht="7.5" hidden="false" customHeight="true" outlineLevel="0" collapsed="false">
      <c r="U43" s="83"/>
      <c r="V43" s="83"/>
      <c r="Y43" s="29"/>
      <c r="Z43" s="29"/>
      <c r="AA43" s="29"/>
      <c r="AB43" s="29"/>
      <c r="AC43" s="29"/>
      <c r="AD43" s="29"/>
      <c r="AE43" s="29"/>
    </row>
    <row r="44" customFormat="false" ht="11.25" hidden="false" customHeight="true" outlineLevel="0" collapsed="false">
      <c r="A44" s="144" t="s">
        <v>1608</v>
      </c>
      <c r="D44" s="155" t="s">
        <v>1609</v>
      </c>
      <c r="X44" s="144" t="s">
        <v>1251</v>
      </c>
      <c r="Y44" s="146"/>
      <c r="Z44" s="146"/>
      <c r="AA44" s="146"/>
      <c r="AB44" s="159" t="n">
        <f aca="false">v_tc_K</f>
        <v>36206</v>
      </c>
      <c r="AC44" s="159"/>
      <c r="AD44" s="159"/>
      <c r="AE44" s="159"/>
    </row>
    <row r="45" customFormat="false" ht="43.5" hidden="false" customHeight="true" outlineLevel="0" collapsed="false">
      <c r="D45" s="154" t="s">
        <v>1610</v>
      </c>
      <c r="AB45" s="81" t="n">
        <f aca="false">v_tc_paid</f>
        <v>0</v>
      </c>
      <c r="AC45" s="81"/>
      <c r="AD45" s="81"/>
      <c r="AE45" s="81"/>
    </row>
    <row r="46" customFormat="false" ht="15" hidden="false" customHeight="true" outlineLevel="0" collapsed="false">
      <c r="D46" s="160" t="s">
        <v>1611</v>
      </c>
      <c r="F46" s="161" t="str">
        <f aca="false">v_tc_challan</f>
        <v/>
      </c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Y46" s="29"/>
      <c r="Z46" s="29"/>
      <c r="AA46" s="29"/>
      <c r="AB46" s="29"/>
      <c r="AC46" s="29"/>
      <c r="AD46" s="29"/>
      <c r="AE46" s="29"/>
    </row>
    <row r="47" customFormat="false" ht="14.25" hidden="false" customHeight="true" outlineLevel="0" collapsed="false">
      <c r="D47" s="154" t="s">
        <v>1612</v>
      </c>
      <c r="X47" s="144" t="s">
        <v>1251</v>
      </c>
      <c r="Y47" s="146"/>
      <c r="Z47" s="146"/>
      <c r="AA47" s="146"/>
      <c r="AB47" s="81" t="n">
        <f aca="false">v_tc_net</f>
        <v>36206</v>
      </c>
      <c r="AC47" s="81"/>
      <c r="AD47" s="81"/>
      <c r="AE47" s="81"/>
    </row>
    <row r="48" customFormat="false" ht="2.25" hidden="false" customHeight="true" outlineLevel="0" collapsed="false">
      <c r="AB48" s="148"/>
      <c r="AC48" s="148"/>
      <c r="AD48" s="148"/>
      <c r="AE48" s="148"/>
    </row>
  </sheetData>
  <sheetProtection sheet="true"/>
  <mergeCells count="55">
    <mergeCell ref="M3:X3"/>
    <mergeCell ref="R4:X4"/>
    <mergeCell ref="AA5:AC6"/>
    <mergeCell ref="AD5:AD6"/>
    <mergeCell ref="AB7:AE7"/>
    <mergeCell ref="AB8:AE8"/>
    <mergeCell ref="AB9:AE9"/>
    <mergeCell ref="T11:V11"/>
    <mergeCell ref="W11:X11"/>
    <mergeCell ref="AB11:AE11"/>
    <mergeCell ref="T12:V12"/>
    <mergeCell ref="W12:X12"/>
    <mergeCell ref="AB12:AE12"/>
    <mergeCell ref="T13:V13"/>
    <mergeCell ref="W13:X13"/>
    <mergeCell ref="AB13:AE13"/>
    <mergeCell ref="T14:V14"/>
    <mergeCell ref="W14:X14"/>
    <mergeCell ref="AB14:AE14"/>
    <mergeCell ref="T15:V15"/>
    <mergeCell ref="W15:X15"/>
    <mergeCell ref="AB15:AE15"/>
    <mergeCell ref="T16:V16"/>
    <mergeCell ref="W16:X16"/>
    <mergeCell ref="AB16:AE16"/>
    <mergeCell ref="T17:V17"/>
    <mergeCell ref="AB17:AE17"/>
    <mergeCell ref="S19:V19"/>
    <mergeCell ref="S20:V20"/>
    <mergeCell ref="S21:V21"/>
    <mergeCell ref="AB22:AE22"/>
    <mergeCell ref="AB23:AE23"/>
    <mergeCell ref="T25:V25"/>
    <mergeCell ref="T26:V26"/>
    <mergeCell ref="T27:V27"/>
    <mergeCell ref="AB28:AE28"/>
    <mergeCell ref="AB29:AE29"/>
    <mergeCell ref="T31:V31"/>
    <mergeCell ref="T32:V32"/>
    <mergeCell ref="AB32:AE32"/>
    <mergeCell ref="AB33:AE33"/>
    <mergeCell ref="AB34:AE34"/>
    <mergeCell ref="U36:V36"/>
    <mergeCell ref="U37:V37"/>
    <mergeCell ref="U38:V38"/>
    <mergeCell ref="U39:V39"/>
    <mergeCell ref="U40:V40"/>
    <mergeCell ref="AB40:AE40"/>
    <mergeCell ref="U41:V41"/>
    <mergeCell ref="U42:V42"/>
    <mergeCell ref="AB42:AE42"/>
    <mergeCell ref="AB44:AE44"/>
    <mergeCell ref="AB45:AE45"/>
    <mergeCell ref="F46:V46"/>
    <mergeCell ref="AB47:AE47"/>
  </mergeCells>
  <printOptions headings="false" gridLines="false" gridLinesSet="true" horizontalCentered="false" verticalCentered="false"/>
  <pageMargins left="1.55555555555556" right="0.942361111111111" top="0.524305555555556" bottom="0.654861111111111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890625" defaultRowHeight="15" zeroHeight="false" outlineLevelRow="0" outlineLevelCol="0"/>
  <cols>
    <col collapsed="false" customWidth="true" hidden="false" outlineLevel="0" max="1" min="1" style="0" width="2.75"/>
    <col collapsed="false" customWidth="true" hidden="false" outlineLevel="0" max="2" min="2" style="0" width="18.12"/>
    <col collapsed="false" customWidth="true" hidden="false" outlineLevel="0" max="3" min="3" style="0" width="7.5"/>
    <col collapsed="false" customWidth="true" hidden="false" outlineLevel="0" max="4" min="4" style="0" width="1.12"/>
    <col collapsed="false" customWidth="true" hidden="false" outlineLevel="0" max="5" min="5" style="0" width="0.75"/>
    <col collapsed="false" customWidth="true" hidden="false" outlineLevel="0" max="6" min="6" style="0" width="4.63"/>
    <col collapsed="false" customWidth="true" hidden="false" outlineLevel="0" max="7" min="7" style="0" width="6.37"/>
    <col collapsed="false" customWidth="true" hidden="false" outlineLevel="0" max="8" min="8" style="0" width="3.5"/>
    <col collapsed="false" customWidth="true" hidden="false" outlineLevel="0" max="9" min="9" style="0" width="0.37"/>
    <col collapsed="false" customWidth="true" hidden="false" outlineLevel="0" max="10" min="10" style="0" width="31.88"/>
    <col collapsed="false" customWidth="true" hidden="false" outlineLevel="0" max="11" min="11" style="0" width="1"/>
    <col collapsed="false" customWidth="true" hidden="false" outlineLevel="0" max="12" min="12" style="0" width="1.63"/>
    <col collapsed="false" customWidth="true" hidden="false" outlineLevel="0" max="13" min="13" style="0" width="0.87"/>
    <col collapsed="false" customWidth="true" hidden="false" outlineLevel="0" max="14" min="14" style="0" width="1.63"/>
    <col collapsed="false" customWidth="true" hidden="false" outlineLevel="0" max="15" min="15" style="0" width="6.87"/>
    <col collapsed="false" customWidth="true" hidden="false" outlineLevel="0" max="16" min="16" style="0" width="2.63"/>
    <col collapsed="false" customWidth="true" hidden="false" outlineLevel="0" max="17" min="17" style="0" width="0.87"/>
    <col collapsed="false" customWidth="true" hidden="false" outlineLevel="0" max="18" min="18" style="0" width="0.25"/>
  </cols>
  <sheetData>
    <row r="1" customFormat="false" ht="15.75" hidden="false" customHeight="true" outlineLevel="0" collapsed="false">
      <c r="E1" s="138" t="s">
        <v>1613</v>
      </c>
    </row>
    <row r="2" customFormat="false" ht="15" hidden="false" customHeight="true" outlineLevel="0" collapsed="false">
      <c r="I2" s="139" t="str">
        <f aca="false">v_name_line</f>
        <v>Name: Sample Taxpayer</v>
      </c>
    </row>
    <row r="3" customFormat="false" ht="15" hidden="false" customHeight="true" outlineLevel="0" collapsed="false">
      <c r="F3" s="140" t="s">
        <v>1247</v>
      </c>
      <c r="G3" s="141" t="str">
        <f aca="false">v_tin</f>
        <v>111122223333</v>
      </c>
      <c r="H3" s="141"/>
      <c r="I3" s="141"/>
      <c r="J3" s="141"/>
    </row>
    <row r="4" customFormat="false" ht="14.25" hidden="false" customHeight="true" outlineLevel="0" collapsed="false">
      <c r="C4" s="142" t="s">
        <v>1559</v>
      </c>
      <c r="H4" s="143" t="str">
        <f aca="false">v_iy_end_dmy</f>
        <v>30-Jun-26</v>
      </c>
      <c r="I4" s="143"/>
      <c r="J4" s="143"/>
    </row>
    <row r="5" customFormat="false" ht="25.5" hidden="false" customHeight="true" outlineLevel="0" collapsed="false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customFormat="false" ht="14.25" hidden="false" customHeight="true" outlineLevel="0" collapsed="false">
      <c r="A6" s="162" t="s">
        <v>1614</v>
      </c>
      <c r="B6" s="29"/>
      <c r="C6" s="29"/>
      <c r="D6" s="87" t="s">
        <v>1615</v>
      </c>
      <c r="E6" s="29"/>
      <c r="F6" s="29"/>
      <c r="G6" s="29"/>
      <c r="H6" s="29"/>
      <c r="I6" s="29"/>
      <c r="J6" s="40"/>
      <c r="K6" s="29"/>
      <c r="L6" s="29"/>
      <c r="M6" s="29"/>
      <c r="N6" s="29"/>
      <c r="O6" s="87" t="s">
        <v>214</v>
      </c>
      <c r="P6" s="87" t="s">
        <v>1251</v>
      </c>
      <c r="Q6" s="40"/>
    </row>
    <row r="7" customFormat="false" ht="15.75" hidden="false" customHeight="true" outlineLevel="0" collapsed="false">
      <c r="A7" s="163" t="s">
        <v>1351</v>
      </c>
      <c r="B7" s="79" t="s">
        <v>1616</v>
      </c>
      <c r="C7" s="29"/>
      <c r="D7" s="29"/>
      <c r="E7" s="29"/>
      <c r="F7" s="29"/>
      <c r="G7" s="29"/>
      <c r="H7" s="29"/>
      <c r="I7" s="29"/>
      <c r="J7" s="40"/>
      <c r="K7" s="29"/>
      <c r="L7" s="29"/>
      <c r="M7" s="29"/>
      <c r="N7" s="95" t="n">
        <f aca="false">IF(N(v_tf_r01)=0,"",v_tf_r01)</f>
        <v>5308</v>
      </c>
      <c r="O7" s="95"/>
      <c r="P7" s="95"/>
      <c r="Q7" s="95"/>
      <c r="R7" s="31"/>
    </row>
    <row r="8" customFormat="false" ht="14.25" hidden="false" customHeight="true" outlineLevel="0" collapsed="false">
      <c r="A8" s="163" t="s">
        <v>1352</v>
      </c>
      <c r="B8" s="79" t="s">
        <v>1617</v>
      </c>
      <c r="C8" s="29"/>
      <c r="D8" s="29"/>
      <c r="E8" s="29"/>
      <c r="F8" s="29"/>
      <c r="G8" s="29"/>
      <c r="H8" s="29"/>
      <c r="I8" s="29"/>
      <c r="J8" s="40"/>
      <c r="K8" s="29"/>
      <c r="L8" s="29"/>
      <c r="M8" s="29"/>
      <c r="N8" s="95" t="str">
        <f aca="false">IF(N(v_tf_r02)=0,"",v_tf_r02)</f>
        <v/>
      </c>
      <c r="O8" s="95"/>
      <c r="P8" s="95"/>
      <c r="Q8" s="95"/>
      <c r="R8" s="31"/>
    </row>
    <row r="9" customFormat="false" ht="15" hidden="false" customHeight="true" outlineLevel="0" collapsed="false">
      <c r="A9" s="163" t="s">
        <v>1353</v>
      </c>
      <c r="B9" s="79" t="s">
        <v>1618</v>
      </c>
      <c r="C9" s="29"/>
      <c r="D9" s="29"/>
      <c r="E9" s="29"/>
      <c r="F9" s="29"/>
      <c r="G9" s="29"/>
      <c r="H9" s="29"/>
      <c r="I9" s="29"/>
      <c r="J9" s="40"/>
      <c r="K9" s="29"/>
      <c r="L9" s="29"/>
      <c r="M9" s="29"/>
      <c r="N9" s="95" t="str">
        <f aca="false">IF(N(v_tf_r03)=0,"",v_tf_r03)</f>
        <v/>
      </c>
      <c r="O9" s="95"/>
      <c r="P9" s="95"/>
      <c r="Q9" s="95"/>
      <c r="R9" s="31"/>
    </row>
    <row r="10" customFormat="false" ht="15.75" hidden="false" customHeight="true" outlineLevel="0" collapsed="false">
      <c r="A10" s="163" t="s">
        <v>1354</v>
      </c>
      <c r="B10" s="79" t="s">
        <v>1619</v>
      </c>
      <c r="C10" s="29"/>
      <c r="D10" s="29"/>
      <c r="E10" s="29"/>
      <c r="F10" s="29"/>
      <c r="G10" s="29"/>
      <c r="H10" s="29"/>
      <c r="I10" s="29"/>
      <c r="J10" s="40"/>
      <c r="K10" s="29"/>
      <c r="L10" s="29"/>
      <c r="M10" s="29"/>
      <c r="N10" s="95" t="str">
        <f aca="false">IF(N(v_tf_r04)=0,"",v_tf_r04)</f>
        <v/>
      </c>
      <c r="O10" s="95"/>
      <c r="P10" s="95"/>
      <c r="Q10" s="95"/>
      <c r="R10" s="31"/>
    </row>
    <row r="11" customFormat="false" ht="15" hidden="false" customHeight="true" outlineLevel="0" collapsed="false">
      <c r="A11" s="163" t="s">
        <v>1355</v>
      </c>
      <c r="B11" s="79" t="s">
        <v>1620</v>
      </c>
      <c r="C11" s="29"/>
      <c r="D11" s="29"/>
      <c r="E11" s="29"/>
      <c r="F11" s="29"/>
      <c r="G11" s="29"/>
      <c r="H11" s="29"/>
      <c r="I11" s="29"/>
      <c r="J11" s="40"/>
      <c r="K11" s="29"/>
      <c r="L11" s="29"/>
      <c r="M11" s="29"/>
      <c r="N11" s="95" t="str">
        <f aca="false">IF(N(v_tf_r05)=0,"",v_tf_r05)</f>
        <v/>
      </c>
      <c r="O11" s="95"/>
      <c r="P11" s="95"/>
      <c r="Q11" s="95"/>
      <c r="R11" s="31"/>
    </row>
    <row r="12" customFormat="false" ht="15" hidden="false" customHeight="true" outlineLevel="0" collapsed="false">
      <c r="A12" s="163" t="s">
        <v>1356</v>
      </c>
      <c r="B12" s="79" t="s">
        <v>1621</v>
      </c>
      <c r="C12" s="29"/>
      <c r="D12" s="29"/>
      <c r="E12" s="29"/>
      <c r="F12" s="29"/>
      <c r="G12" s="29"/>
      <c r="H12" s="29"/>
      <c r="I12" s="29"/>
      <c r="J12" s="40"/>
      <c r="K12" s="29"/>
      <c r="L12" s="29"/>
      <c r="M12" s="29"/>
      <c r="N12" s="95" t="str">
        <f aca="false">IF(N(v_tf_r06)=0,"",v_tf_r06)</f>
        <v/>
      </c>
      <c r="O12" s="95"/>
      <c r="P12" s="95"/>
      <c r="Q12" s="95"/>
      <c r="R12" s="31"/>
    </row>
    <row r="13" customFormat="false" ht="15" hidden="false" customHeight="true" outlineLevel="0" collapsed="false">
      <c r="A13" s="163" t="s">
        <v>1357</v>
      </c>
      <c r="B13" s="79" t="s">
        <v>1622</v>
      </c>
      <c r="C13" s="29"/>
      <c r="D13" s="29"/>
      <c r="E13" s="29"/>
      <c r="F13" s="29"/>
      <c r="G13" s="29"/>
      <c r="H13" s="29"/>
      <c r="I13" s="29"/>
      <c r="J13" s="40"/>
      <c r="K13" s="29"/>
      <c r="L13" s="29"/>
      <c r="M13" s="29"/>
      <c r="N13" s="95" t="str">
        <f aca="false">IF(N(v_tf_r07)=0,"",v_tf_r07)</f>
        <v/>
      </c>
      <c r="O13" s="95"/>
      <c r="P13" s="95"/>
      <c r="Q13" s="95"/>
      <c r="R13" s="31"/>
    </row>
    <row r="14" customFormat="false" ht="15.75" hidden="false" customHeight="true" outlineLevel="0" collapsed="false">
      <c r="A14" s="163" t="s">
        <v>1623</v>
      </c>
      <c r="B14" s="79" t="s">
        <v>1624</v>
      </c>
      <c r="C14" s="29"/>
      <c r="D14" s="29"/>
      <c r="E14" s="29"/>
      <c r="F14" s="29"/>
      <c r="G14" s="29"/>
      <c r="H14" s="29"/>
      <c r="I14" s="29"/>
      <c r="J14" s="40"/>
      <c r="K14" s="29"/>
      <c r="L14" s="29"/>
      <c r="M14" s="29"/>
      <c r="N14" s="95" t="str">
        <f aca="false">IF(N(v_tf_r08)=0,"",v_tf_r08)</f>
        <v/>
      </c>
      <c r="O14" s="95"/>
      <c r="P14" s="95"/>
      <c r="Q14" s="95"/>
      <c r="R14" s="31"/>
    </row>
    <row r="15" customFormat="false" ht="15" hidden="false" customHeight="true" outlineLevel="0" collapsed="false">
      <c r="A15" s="163" t="s">
        <v>1625</v>
      </c>
      <c r="B15" s="79" t="s">
        <v>1626</v>
      </c>
      <c r="C15" s="29"/>
      <c r="D15" s="29"/>
      <c r="E15" s="29"/>
      <c r="F15" s="29"/>
      <c r="G15" s="29"/>
      <c r="H15" s="29"/>
      <c r="I15" s="29"/>
      <c r="J15" s="40"/>
      <c r="K15" s="29"/>
      <c r="L15" s="29"/>
      <c r="M15" s="29"/>
      <c r="N15" s="95" t="str">
        <f aca="false">IF(N(v_tf_r09)=0,"",v_tf_r09)</f>
        <v/>
      </c>
      <c r="O15" s="95"/>
      <c r="P15" s="95"/>
      <c r="Q15" s="95"/>
      <c r="R15" s="31"/>
    </row>
    <row r="16" customFormat="false" ht="15" hidden="false" customHeight="true" outlineLevel="0" collapsed="false">
      <c r="A16" s="163" t="s">
        <v>1285</v>
      </c>
      <c r="B16" s="79" t="s">
        <v>1627</v>
      </c>
      <c r="C16" s="29"/>
      <c r="D16" s="29"/>
      <c r="E16" s="29"/>
      <c r="F16" s="29"/>
      <c r="G16" s="29"/>
      <c r="H16" s="29"/>
      <c r="I16" s="29"/>
      <c r="J16" s="40"/>
      <c r="K16" s="29"/>
      <c r="L16" s="29"/>
      <c r="M16" s="29"/>
      <c r="N16" s="95" t="str">
        <f aca="false">IF(N(v_tf_r10)=0,"",v_tf_r10)</f>
        <v/>
      </c>
      <c r="O16" s="95"/>
      <c r="P16" s="95"/>
      <c r="Q16" s="95"/>
      <c r="R16" s="31"/>
    </row>
    <row r="17" customFormat="false" ht="15" hidden="false" customHeight="true" outlineLevel="0" collapsed="false">
      <c r="A17" s="163" t="s">
        <v>1290</v>
      </c>
      <c r="B17" s="79" t="s">
        <v>1628</v>
      </c>
      <c r="C17" s="29"/>
      <c r="D17" s="29"/>
      <c r="E17" s="29"/>
      <c r="F17" s="29"/>
      <c r="G17" s="29"/>
      <c r="H17" s="29"/>
      <c r="I17" s="29"/>
      <c r="J17" s="40"/>
      <c r="K17" s="29"/>
      <c r="L17" s="29"/>
      <c r="M17" s="29"/>
      <c r="N17" s="95" t="str">
        <f aca="false">IF(N(v_tf_r11)=0,"",v_tf_r11)</f>
        <v/>
      </c>
      <c r="O17" s="95"/>
      <c r="P17" s="95"/>
      <c r="Q17" s="95"/>
      <c r="R17" s="31"/>
    </row>
    <row r="18" customFormat="false" ht="15.75" hidden="false" customHeight="true" outlineLevel="0" collapsed="false">
      <c r="A18" s="163" t="s">
        <v>1293</v>
      </c>
      <c r="B18" s="79" t="s">
        <v>1629</v>
      </c>
      <c r="C18" s="29"/>
      <c r="D18" s="29"/>
      <c r="E18" s="29"/>
      <c r="F18" s="29"/>
      <c r="G18" s="29"/>
      <c r="H18" s="29"/>
      <c r="I18" s="29"/>
      <c r="J18" s="40"/>
      <c r="K18" s="29"/>
      <c r="L18" s="29"/>
      <c r="M18" s="29"/>
      <c r="N18" s="95" t="str">
        <f aca="false">IF(N(v_tf_r12)=0,"",v_tf_r12)</f>
        <v/>
      </c>
      <c r="O18" s="95"/>
      <c r="P18" s="95"/>
      <c r="Q18" s="95"/>
      <c r="R18" s="31"/>
    </row>
    <row r="19" customFormat="false" ht="15" hidden="false" customHeight="true" outlineLevel="0" collapsed="false">
      <c r="A19" s="163" t="s">
        <v>1296</v>
      </c>
      <c r="B19" s="79" t="s">
        <v>1630</v>
      </c>
      <c r="C19" s="29"/>
      <c r="D19" s="29"/>
      <c r="E19" s="29"/>
      <c r="F19" s="29"/>
      <c r="G19" s="29"/>
      <c r="H19" s="29"/>
      <c r="I19" s="29"/>
      <c r="J19" s="40"/>
      <c r="K19" s="29"/>
      <c r="L19" s="29"/>
      <c r="M19" s="29"/>
      <c r="N19" s="95" t="str">
        <f aca="false">IF(N(v_tf_r13)=0,"",v_tf_r13)</f>
        <v/>
      </c>
      <c r="O19" s="95"/>
      <c r="P19" s="95"/>
      <c r="Q19" s="95"/>
      <c r="R19" s="31"/>
    </row>
    <row r="20" customFormat="false" ht="15" hidden="false" customHeight="true" outlineLevel="0" collapsed="false">
      <c r="A20" s="163" t="s">
        <v>1322</v>
      </c>
      <c r="B20" s="79" t="s">
        <v>1631</v>
      </c>
      <c r="C20" s="29"/>
      <c r="D20" s="29"/>
      <c r="E20" s="29"/>
      <c r="F20" s="29"/>
      <c r="G20" s="29"/>
      <c r="H20" s="29"/>
      <c r="I20" s="29"/>
      <c r="J20" s="40"/>
      <c r="K20" s="29"/>
      <c r="L20" s="29"/>
      <c r="M20" s="29"/>
      <c r="N20" s="95" t="str">
        <f aca="false">IF(N(v_tf_r14)=0,"",v_tf_r14)</f>
        <v/>
      </c>
      <c r="O20" s="95"/>
      <c r="P20" s="95"/>
      <c r="Q20" s="95"/>
      <c r="R20" s="31"/>
    </row>
    <row r="21" customFormat="false" ht="15.75" hidden="false" customHeight="true" outlineLevel="0" collapsed="false">
      <c r="A21" s="163" t="s">
        <v>1324</v>
      </c>
      <c r="B21" s="79" t="s">
        <v>1632</v>
      </c>
      <c r="C21" s="29"/>
      <c r="D21" s="29"/>
      <c r="E21" s="29"/>
      <c r="F21" s="29"/>
      <c r="G21" s="29"/>
      <c r="H21" s="29"/>
      <c r="I21" s="29"/>
      <c r="J21" s="40"/>
      <c r="K21" s="29"/>
      <c r="L21" s="29"/>
      <c r="M21" s="29"/>
      <c r="N21" s="95" t="str">
        <f aca="false">IF(N(v_tf_r15)=0,"",v_tf_r15)</f>
        <v/>
      </c>
      <c r="O21" s="95"/>
      <c r="P21" s="95"/>
      <c r="Q21" s="95"/>
      <c r="R21" s="31"/>
    </row>
    <row r="22" customFormat="false" ht="14.25" hidden="false" customHeight="true" outlineLevel="0" collapsed="false">
      <c r="A22" s="163" t="s">
        <v>1325</v>
      </c>
      <c r="B22" s="79" t="s">
        <v>1633</v>
      </c>
      <c r="C22" s="29"/>
      <c r="D22" s="29"/>
      <c r="E22" s="29"/>
      <c r="F22" s="29"/>
      <c r="G22" s="29"/>
      <c r="H22" s="29"/>
      <c r="I22" s="29"/>
      <c r="J22" s="40"/>
      <c r="K22" s="29"/>
      <c r="L22" s="29"/>
      <c r="M22" s="29"/>
      <c r="N22" s="95" t="str">
        <f aca="false">IF(N(v_tf_r16)=0,"",v_tf_r16)</f>
        <v/>
      </c>
      <c r="O22" s="95"/>
      <c r="P22" s="95"/>
      <c r="Q22" s="95"/>
      <c r="R22" s="31"/>
    </row>
    <row r="23" customFormat="false" ht="15" hidden="false" customHeight="true" outlineLevel="0" collapsed="false">
      <c r="A23" s="163" t="s">
        <v>1328</v>
      </c>
      <c r="B23" s="79" t="s">
        <v>1634</v>
      </c>
      <c r="C23" s="29"/>
      <c r="D23" s="29"/>
      <c r="E23" s="29"/>
      <c r="F23" s="29"/>
      <c r="G23" s="29"/>
      <c r="H23" s="29"/>
      <c r="I23" s="29"/>
      <c r="J23" s="40"/>
      <c r="K23" s="29"/>
      <c r="L23" s="29"/>
      <c r="M23" s="29"/>
      <c r="N23" s="95" t="str">
        <f aca="false">IF(N(v_tf_r17)=0,"",v_tf_r17)</f>
        <v/>
      </c>
      <c r="O23" s="95"/>
      <c r="P23" s="95"/>
      <c r="Q23" s="95"/>
      <c r="R23" s="31"/>
    </row>
    <row r="24" customFormat="false" ht="15" hidden="false" customHeight="true" outlineLevel="0" collapsed="false">
      <c r="A24" s="163" t="s">
        <v>1330</v>
      </c>
      <c r="B24" s="79" t="s">
        <v>1635</v>
      </c>
      <c r="C24" s="29"/>
      <c r="D24" s="29"/>
      <c r="E24" s="29"/>
      <c r="F24" s="29"/>
      <c r="G24" s="29"/>
      <c r="H24" s="29"/>
      <c r="I24" s="29"/>
      <c r="J24" s="40"/>
      <c r="K24" s="29"/>
      <c r="L24" s="29"/>
      <c r="M24" s="29"/>
      <c r="N24" s="95" t="str">
        <f aca="false">IF(N(v_tf_r18)=0,"",v_tf_r18)</f>
        <v/>
      </c>
      <c r="O24" s="95"/>
      <c r="P24" s="95"/>
      <c r="Q24" s="95"/>
      <c r="R24" s="31"/>
    </row>
    <row r="25" customFormat="false" ht="15.75" hidden="false" customHeight="true" outlineLevel="0" collapsed="false">
      <c r="A25" s="163" t="s">
        <v>1332</v>
      </c>
      <c r="B25" s="79" t="s">
        <v>1636</v>
      </c>
      <c r="C25" s="29"/>
      <c r="D25" s="29"/>
      <c r="E25" s="29"/>
      <c r="F25" s="29"/>
      <c r="G25" s="29"/>
      <c r="H25" s="29"/>
      <c r="I25" s="29"/>
      <c r="J25" s="40"/>
      <c r="K25" s="29"/>
      <c r="L25" s="29"/>
      <c r="M25" s="29"/>
      <c r="N25" s="95" t="str">
        <f aca="false">IF(N(v_tf_r19)=0,"",v_tf_r19)</f>
        <v/>
      </c>
      <c r="O25" s="95"/>
      <c r="P25" s="95"/>
      <c r="Q25" s="95"/>
      <c r="R25" s="31"/>
    </row>
    <row r="26" customFormat="false" ht="15" hidden="false" customHeight="true" outlineLevel="0" collapsed="false">
      <c r="A26" s="163" t="s">
        <v>1336</v>
      </c>
      <c r="B26" s="79" t="s">
        <v>1637</v>
      </c>
      <c r="C26" s="29"/>
      <c r="D26" s="29"/>
      <c r="E26" s="29"/>
      <c r="F26" s="29"/>
      <c r="G26" s="29"/>
      <c r="H26" s="29"/>
      <c r="I26" s="29"/>
      <c r="J26" s="40"/>
      <c r="K26" s="29"/>
      <c r="L26" s="29"/>
      <c r="M26" s="29"/>
      <c r="N26" s="95" t="str">
        <f aca="false">IF(N(v_tf_r20)=0,"",v_tf_r20)</f>
        <v/>
      </c>
      <c r="O26" s="95"/>
      <c r="P26" s="95"/>
      <c r="Q26" s="95"/>
      <c r="R26" s="31"/>
    </row>
    <row r="27" customFormat="false" ht="15" hidden="false" customHeight="true" outlineLevel="0" collapsed="false">
      <c r="A27" s="163" t="s">
        <v>1338</v>
      </c>
      <c r="B27" s="79" t="s">
        <v>1638</v>
      </c>
      <c r="C27" s="29"/>
      <c r="D27" s="29"/>
      <c r="E27" s="29"/>
      <c r="F27" s="29"/>
      <c r="G27" s="29"/>
      <c r="H27" s="29"/>
      <c r="I27" s="29"/>
      <c r="J27" s="40"/>
      <c r="K27" s="29"/>
      <c r="L27" s="29"/>
      <c r="M27" s="29"/>
      <c r="N27" s="95" t="str">
        <f aca="false">IF(N(v_tf_r21)=0,"",v_tf_r21)</f>
        <v/>
      </c>
      <c r="O27" s="95"/>
      <c r="P27" s="95"/>
      <c r="Q27" s="95"/>
      <c r="R27" s="31"/>
    </row>
    <row r="28" customFormat="false" ht="15.75" hidden="false" customHeight="true" outlineLevel="0" collapsed="false">
      <c r="A28" s="163" t="s">
        <v>1340</v>
      </c>
      <c r="B28" s="79" t="s">
        <v>1639</v>
      </c>
      <c r="C28" s="29"/>
      <c r="D28" s="29"/>
      <c r="E28" s="29"/>
      <c r="F28" s="29"/>
      <c r="G28" s="29"/>
      <c r="H28" s="29"/>
      <c r="I28" s="29"/>
      <c r="J28" s="40"/>
      <c r="K28" s="29"/>
      <c r="L28" s="29"/>
      <c r="M28" s="29"/>
      <c r="N28" s="95" t="str">
        <f aca="false">IF(N(v_tf_r22)=0,"",v_tf_r22)</f>
        <v/>
      </c>
      <c r="O28" s="95"/>
      <c r="P28" s="95"/>
      <c r="Q28" s="95"/>
      <c r="R28" s="31"/>
    </row>
    <row r="29" customFormat="false" ht="12.75" hidden="false" customHeight="true" outlineLevel="0" collapsed="false">
      <c r="B29" s="164" t="s">
        <v>1640</v>
      </c>
      <c r="C29" s="164"/>
      <c r="D29" s="164"/>
      <c r="E29" s="164"/>
      <c r="F29" s="164"/>
      <c r="L29" s="29"/>
      <c r="M29" s="165" t="n">
        <f aca="false">v_tf_total</f>
        <v>5308</v>
      </c>
      <c r="N29" s="165"/>
      <c r="O29" s="165"/>
      <c r="P29" s="165"/>
      <c r="Q29" s="83"/>
    </row>
    <row r="30" customFormat="false" ht="2.25" hidden="false" customHeight="true" outlineLevel="0" collapsed="false">
      <c r="B30" s="164"/>
      <c r="C30" s="164"/>
      <c r="D30" s="164"/>
      <c r="E30" s="164"/>
      <c r="F30" s="164"/>
      <c r="M30" s="83"/>
      <c r="N30" s="83"/>
      <c r="O30" s="83"/>
      <c r="P30" s="83"/>
    </row>
  </sheetData>
  <sheetProtection sheet="true"/>
  <mergeCells count="26">
    <mergeCell ref="G3:J3"/>
    <mergeCell ref="H4:J4"/>
    <mergeCell ref="N7:Q7"/>
    <mergeCell ref="N8:Q8"/>
    <mergeCell ref="N9:Q9"/>
    <mergeCell ref="N10:Q10"/>
    <mergeCell ref="N11:Q11"/>
    <mergeCell ref="N12:Q12"/>
    <mergeCell ref="N13:Q13"/>
    <mergeCell ref="N14:Q14"/>
    <mergeCell ref="N15:Q15"/>
    <mergeCell ref="N16:Q16"/>
    <mergeCell ref="N17:Q17"/>
    <mergeCell ref="N18:Q18"/>
    <mergeCell ref="N19:Q19"/>
    <mergeCell ref="N20:Q20"/>
    <mergeCell ref="N21:Q21"/>
    <mergeCell ref="N22:Q22"/>
    <mergeCell ref="N23:Q23"/>
    <mergeCell ref="N24:Q24"/>
    <mergeCell ref="N25:Q25"/>
    <mergeCell ref="N26:Q26"/>
    <mergeCell ref="N27:Q27"/>
    <mergeCell ref="N28:Q28"/>
    <mergeCell ref="B29:F30"/>
    <mergeCell ref="M29:P29"/>
  </mergeCells>
  <printOptions headings="false" gridLines="false" gridLinesSet="true" horizontalCentered="false" verticalCentered="false"/>
  <pageMargins left="0.804861111111111" right="0.427083333333333" top="0.51875" bottom="5.48819444444445" header="0.511811023622047" footer="0.511811023622047"/>
  <pageSetup paperSize="9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2026-10-20T08:29:45Z</dcterms:created>
  <dc:creator>openpyxl</dc:creator>
  <dc:description/>
  <dc:language>en-US</dc:language>
  <cp:lastModifiedBy/>
  <dcterms:modified xsi:type="dcterms:W3CDTF">2026-10-20T08:29:46Z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